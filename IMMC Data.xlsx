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Standardized Data" sheetId="2" r:id="rId5"/>
    <sheet state="visible" name="FinalData" sheetId="3" r:id="rId6"/>
  </sheets>
  <definedNames/>
  <calcPr/>
</workbook>
</file>

<file path=xl/sharedStrings.xml><?xml version="1.0" encoding="utf-8"?>
<sst xmlns="http://schemas.openxmlformats.org/spreadsheetml/2006/main" count="579" uniqueCount="173">
  <si>
    <t>County</t>
  </si>
  <si>
    <t>2023 Population</t>
  </si>
  <si>
    <t>Population Density</t>
  </si>
  <si>
    <t>Urban-Rural Classification</t>
  </si>
  <si>
    <t>Diversity Index</t>
  </si>
  <si>
    <t>Partisan Voting Index</t>
  </si>
  <si>
    <t>PerCapitaIncome_2022</t>
  </si>
  <si>
    <t>MedianListPrice_2024</t>
  </si>
  <si>
    <t>HS_Grad_or_Higher_2023_5yr_Pct</t>
  </si>
  <si>
    <t>Value (Percentage of People with a Bachelor's)</t>
  </si>
  <si>
    <t>HighPoint_Elevation_ft</t>
  </si>
  <si>
    <t>WaterArea_sqmi</t>
  </si>
  <si>
    <t>AgLand_Acres_2022</t>
  </si>
  <si>
    <t>Air Pollution (Micrograms per cm^3)</t>
  </si>
  <si>
    <t xml:space="preserve">Unemployment Rate (%) </t>
  </si>
  <si>
    <t>Economic Diversity Index</t>
  </si>
  <si>
    <t>Mean Travel Time</t>
  </si>
  <si>
    <t>Mobility (%)</t>
  </si>
  <si>
    <t>Obesity %</t>
  </si>
  <si>
    <t>Divorce Rate</t>
  </si>
  <si>
    <t>Marriage Rate</t>
  </si>
  <si>
    <t>Alamance</t>
  </si>
  <si>
    <t>4 - Small metro</t>
  </si>
  <si>
    <t>Republican +5</t>
  </si>
  <si>
    <t>Alexander</t>
  </si>
  <si>
    <t>3 - Medium metro</t>
  </si>
  <si>
    <t>Republican +31</t>
  </si>
  <si>
    <t>Alleghany</t>
  </si>
  <si>
    <t>6 - Noncore</t>
  </si>
  <si>
    <t>Republican +27</t>
  </si>
  <si>
    <t>Anson</t>
  </si>
  <si>
    <t>2 - Large fringe metro</t>
  </si>
  <si>
    <t>Republican +1</t>
  </si>
  <si>
    <t>Ashe</t>
  </si>
  <si>
    <t>Republican +24</t>
  </si>
  <si>
    <t>Avery</t>
  </si>
  <si>
    <t>Republican +28</t>
  </si>
  <si>
    <t>Beaufort</t>
  </si>
  <si>
    <t>5 - Micropolitan</t>
  </si>
  <si>
    <t>Republican +16</t>
  </si>
  <si>
    <t>Bertie</t>
  </si>
  <si>
    <t>Democrat +9</t>
  </si>
  <si>
    <t>Bladen</t>
  </si>
  <si>
    <t>Republican +10</t>
  </si>
  <si>
    <t>Brunswick</t>
  </si>
  <si>
    <t>Republican +14</t>
  </si>
  <si>
    <t>Buncombe</t>
  </si>
  <si>
    <t>Democrat +11</t>
  </si>
  <si>
    <t>Burke</t>
  </si>
  <si>
    <t>Republican +22</t>
  </si>
  <si>
    <t>Cabarrus</t>
  </si>
  <si>
    <t>Caldwell</t>
  </si>
  <si>
    <t>Camden</t>
  </si>
  <si>
    <t>Republican +25</t>
  </si>
  <si>
    <t>Carteret</t>
  </si>
  <si>
    <t>Caswell</t>
  </si>
  <si>
    <t>Republican +12</t>
  </si>
  <si>
    <t>Catawba</t>
  </si>
  <si>
    <t>Republican +20</t>
  </si>
  <si>
    <t>Chatham</t>
  </si>
  <si>
    <t>Democrat +6</t>
  </si>
  <si>
    <t>Cherokee</t>
  </si>
  <si>
    <t>Republican +29</t>
  </si>
  <si>
    <t>Chowan</t>
  </si>
  <si>
    <t>Republican +11</t>
  </si>
  <si>
    <t>Clay</t>
  </si>
  <si>
    <t>Republican +26</t>
  </si>
  <si>
    <t>NA</t>
  </si>
  <si>
    <t>Cleveland</t>
  </si>
  <si>
    <t>Republican +18</t>
  </si>
  <si>
    <t>Columbus</t>
  </si>
  <si>
    <t>Republican +17</t>
  </si>
  <si>
    <t>Craven</t>
  </si>
  <si>
    <t>Cumberland</t>
  </si>
  <si>
    <t>Democrat +7</t>
  </si>
  <si>
    <t>Currituck</t>
  </si>
  <si>
    <t>Dare</t>
  </si>
  <si>
    <t>Davidson</t>
  </si>
  <si>
    <t>Davie</t>
  </si>
  <si>
    <t>Duplin</t>
  </si>
  <si>
    <t>Durham</t>
  </si>
  <si>
    <t>Democrat +30</t>
  </si>
  <si>
    <t>Edgecombe</t>
  </si>
  <si>
    <t>Democrat +12</t>
  </si>
  <si>
    <t>Forsyth</t>
  </si>
  <si>
    <t>Franklin</t>
  </si>
  <si>
    <t>Republican +8</t>
  </si>
  <si>
    <t>Gaston</t>
  </si>
  <si>
    <t>Gates</t>
  </si>
  <si>
    <t>Graham</t>
  </si>
  <si>
    <t>Republican +32</t>
  </si>
  <si>
    <t>Granville</t>
  </si>
  <si>
    <t>Greene</t>
  </si>
  <si>
    <t>Republican +9</t>
  </si>
  <si>
    <t>GuilfordW</t>
  </si>
  <si>
    <t>GuilfordE</t>
  </si>
  <si>
    <t>Halifax</t>
  </si>
  <si>
    <t>Democrat +10</t>
  </si>
  <si>
    <t>Harnett</t>
  </si>
  <si>
    <t>Republican +13</t>
  </si>
  <si>
    <t>Haywood</t>
  </si>
  <si>
    <t>Henderson</t>
  </si>
  <si>
    <t>Hertford</t>
  </si>
  <si>
    <t>Democrat +15</t>
  </si>
  <si>
    <t>Hoke</t>
  </si>
  <si>
    <t>Democrat +4</t>
  </si>
  <si>
    <t>Hyde</t>
  </si>
  <si>
    <t>Iredell</t>
  </si>
  <si>
    <t>Jackson</t>
  </si>
  <si>
    <t>Johnston</t>
  </si>
  <si>
    <t>Jones</t>
  </si>
  <si>
    <t>Lee</t>
  </si>
  <si>
    <t>Lenoir</t>
  </si>
  <si>
    <t>Republican +4</t>
  </si>
  <si>
    <t>Lincoln</t>
  </si>
  <si>
    <t>Macon</t>
  </si>
  <si>
    <t>Madison</t>
  </si>
  <si>
    <t>Martin</t>
  </si>
  <si>
    <t>McDowell</t>
  </si>
  <si>
    <t>MecklenburgN</t>
  </si>
  <si>
    <t>1 - Large central metro</t>
  </si>
  <si>
    <t>Democrat +16</t>
  </si>
  <si>
    <t>MecklenburgS</t>
  </si>
  <si>
    <t>Mitchell</t>
  </si>
  <si>
    <t>Republican +30</t>
  </si>
  <si>
    <t>Montgomery</t>
  </si>
  <si>
    <t>Republican +19</t>
  </si>
  <si>
    <t>Moore</t>
  </si>
  <si>
    <t>Republican +15</t>
  </si>
  <si>
    <t>Nash</t>
  </si>
  <si>
    <t>Republican +2</t>
  </si>
  <si>
    <t>New Hanover</t>
  </si>
  <si>
    <t>Even +0</t>
  </si>
  <si>
    <t>Northampton</t>
  </si>
  <si>
    <t>Onslow</t>
  </si>
  <si>
    <t>Orange</t>
  </si>
  <si>
    <t>Democrat +25</t>
  </si>
  <si>
    <t>Pamlico</t>
  </si>
  <si>
    <t>Pasquotank</t>
  </si>
  <si>
    <t>Pender</t>
  </si>
  <si>
    <t>Perquimans</t>
  </si>
  <si>
    <t>Person</t>
  </si>
  <si>
    <t>Pitt</t>
  </si>
  <si>
    <t>Democrat +3</t>
  </si>
  <si>
    <t>Polk</t>
  </si>
  <si>
    <t>Randolph</t>
  </si>
  <si>
    <t>Richmond</t>
  </si>
  <si>
    <t>Robeson</t>
  </si>
  <si>
    <t>Rockingham</t>
  </si>
  <si>
    <t>Rowan</t>
  </si>
  <si>
    <t>Rutherford</t>
  </si>
  <si>
    <t>Sampson</t>
  </si>
  <si>
    <t>Scotland</t>
  </si>
  <si>
    <t>Stanly</t>
  </si>
  <si>
    <t>Stokes</t>
  </si>
  <si>
    <t>Surry</t>
  </si>
  <si>
    <t>Swain</t>
  </si>
  <si>
    <t>Transylvania</t>
  </si>
  <si>
    <t>Tyrrell</t>
  </si>
  <si>
    <t>Union</t>
  </si>
  <si>
    <t>Vance</t>
  </si>
  <si>
    <t>Democrat +8</t>
  </si>
  <si>
    <t>WakeN</t>
  </si>
  <si>
    <t>WakeS</t>
  </si>
  <si>
    <t>Warren</t>
  </si>
  <si>
    <t>Washington</t>
  </si>
  <si>
    <t>Watauga</t>
  </si>
  <si>
    <t>Wayne</t>
  </si>
  <si>
    <t>Wilkes</t>
  </si>
  <si>
    <t>Wilson</t>
  </si>
  <si>
    <t>Democrat +1</t>
  </si>
  <si>
    <t>Yadkin</t>
  </si>
  <si>
    <t>Yancey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</si>
</sst>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11">
    <font>
      <sz val="10.0"/>
      <color rgb="FF000000"/>
      <name val="Arial"/>
      <scheme val="minor"/>
    </font>
    <font>
      <sz val="11.0"/>
      <color rgb="FF000000"/>
      <name val="&quot;Aptos Narrow&quot;"/>
    </font>
    <font>
      <sz val="12.0"/>
      <color rgb="FF000000"/>
      <name val="Arial"/>
    </font>
    <font>
      <color theme="1"/>
      <name val="Arial"/>
      <scheme val="minor"/>
    </font>
    <font>
      <sz val="11.0"/>
      <color rgb="FF000000"/>
      <name val="Arial"/>
    </font>
    <font>
      <sz val="11.0"/>
      <color theme="1"/>
      <name val="Calibri"/>
    </font>
    <font>
      <sz val="11.0"/>
      <color rgb="FF000000"/>
      <name val="Calibri"/>
    </font>
    <font>
      <u/>
      <sz val="9.0"/>
      <color rgb="FF171717"/>
      <name val="-apple-system"/>
    </font>
    <font>
      <color theme="1"/>
      <name val="Arial"/>
    </font>
    <font>
      <sz val="9.0"/>
      <color rgb="FF171717"/>
      <name val="-apple-system"/>
    </font>
    <font>
      <u/>
      <sz val="11.0"/>
      <color rgb="FF000000"/>
      <name val="&quot;Aptos Narrow&quot;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bottom style="thin">
        <color rgb="FFF9F9F9"/>
      </bottom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0" fontId="6" numFmtId="0" xfId="0" applyAlignment="1" applyFont="1">
      <alignment readingOrder="0" shrinkToFit="0" vertical="bottom" wrapText="0"/>
    </xf>
    <xf borderId="1" fillId="2" fontId="7" numFmtId="10" xfId="0" applyAlignment="1" applyBorder="1" applyFill="1" applyFont="1" applyNumberFormat="1">
      <alignment horizontal="right" vertical="bottom"/>
    </xf>
    <xf borderId="0" fillId="0" fontId="8" numFmtId="10" xfId="0" applyAlignment="1" applyFont="1" applyNumberFormat="1">
      <alignment vertical="bottom"/>
    </xf>
    <xf borderId="0" fillId="0" fontId="5" numFmtId="3" xfId="0" applyAlignment="1" applyFont="1" applyNumberFormat="1">
      <alignment horizontal="right" vertical="bottom"/>
    </xf>
    <xf borderId="0" fillId="0" fontId="5" numFmtId="0" xfId="0" applyAlignment="1" applyFont="1">
      <alignment horizontal="right" vertical="bottom"/>
    </xf>
    <xf borderId="0" fillId="0" fontId="6" numFmtId="3" xfId="0" applyAlignment="1" applyFont="1" applyNumberFormat="1">
      <alignment horizontal="right" readingOrder="0" shrinkToFit="0" vertical="bottom" wrapText="0"/>
    </xf>
    <xf borderId="0" fillId="0" fontId="6" numFmtId="10" xfId="0" applyAlignment="1" applyFont="1" applyNumberFormat="1">
      <alignment horizontal="right" readingOrder="0" shrinkToFit="0" vertical="bottom" wrapText="0"/>
    </xf>
    <xf borderId="0" fillId="0" fontId="6" numFmtId="9" xfId="0" applyAlignment="1" applyFont="1" applyNumberFormat="1">
      <alignment horizontal="right" readingOrder="0" shrinkToFit="0" vertical="bottom" wrapText="0"/>
    </xf>
    <xf borderId="1" fillId="2" fontId="9" numFmtId="10" xfId="0" applyAlignment="1" applyBorder="1" applyFont="1" applyNumberFormat="1">
      <alignment horizontal="right" vertical="bottom"/>
    </xf>
    <xf borderId="0" fillId="0" fontId="8" numFmtId="0" xfId="0" applyAlignment="1" applyFont="1">
      <alignment vertical="bottom"/>
    </xf>
    <xf borderId="0" fillId="0" fontId="4" numFmtId="0" xfId="0" applyAlignment="1" applyFont="1">
      <alignment horizontal="right" readingOrder="0" shrinkToFit="0" vertical="bottom" wrapText="0"/>
    </xf>
    <xf borderId="0" fillId="2" fontId="9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0" fillId="0" fontId="8" numFmtId="0" xfId="0" applyAlignment="1" applyFont="1">
      <alignment readingOrder="0" vertical="bottom"/>
    </xf>
    <xf borderId="0" fillId="0" fontId="6" numFmtId="0" xfId="0" applyAlignment="1" applyFont="1">
      <alignment shrinkToFit="0" vertical="bottom" wrapText="0"/>
    </xf>
    <xf borderId="0" fillId="0" fontId="1" numFmtId="164" xfId="0" applyAlignment="1" applyFont="1" applyNumberFormat="1">
      <alignment readingOrder="0" shrinkToFit="0" vertical="bottom" wrapText="0"/>
    </xf>
    <xf borderId="0" fillId="0" fontId="1" numFmtId="1" xfId="0" applyAlignment="1" applyFont="1" applyNumberFormat="1">
      <alignment readingOrder="0" shrinkToFit="0" vertical="bottom" wrapText="0"/>
    </xf>
    <xf borderId="0" fillId="0" fontId="10" numFmtId="164" xfId="0" applyAlignment="1" applyFont="1" applyNumberFormat="1">
      <alignment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1" xfId="0" applyAlignment="1" applyFont="1" applyNumberFormat="1">
      <alignment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zipdatamaps.com/county/north-carolina/alamance-county-profile-and-map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zipdatamaps.com/county/north-carolina/alamance-county-profile-and-map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3" width="16.25"/>
    <col customWidth="1" min="4" max="4" width="24.25"/>
    <col customWidth="1" min="6" max="7" width="18.38"/>
    <col customWidth="1" min="8" max="8" width="17.5"/>
    <col customWidth="1" min="9" max="9" width="27.0"/>
    <col customWidth="1" min="10" max="10" width="35.75"/>
    <col customWidth="1" min="11" max="11" width="18.0"/>
    <col customWidth="1" min="12" max="12" width="13.5"/>
    <col customWidth="1" min="13" max="13" width="16.13"/>
    <col customWidth="1" min="14" max="14" width="28.0"/>
    <col customWidth="1" min="15" max="15" width="19.63"/>
    <col customWidth="1" min="16" max="16" width="19.5"/>
    <col customWidth="1" min="17" max="17" width="14.75"/>
    <col customWidth="1" min="18" max="18" width="19.63"/>
    <col customWidth="1" min="19" max="19" width="19.5"/>
    <col customWidth="1" min="20" max="20" width="20.5"/>
    <col customWidth="1" min="23" max="23" width="26.13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6" t="s">
        <v>7</v>
      </c>
      <c r="I1" s="1" t="s">
        <v>8</v>
      </c>
      <c r="J1" s="7" t="s">
        <v>9</v>
      </c>
      <c r="K1" s="6" t="s">
        <v>10</v>
      </c>
      <c r="L1" s="6" t="s">
        <v>11</v>
      </c>
      <c r="M1" s="6" t="s">
        <v>12</v>
      </c>
      <c r="N1" s="7" t="s">
        <v>13</v>
      </c>
      <c r="O1" s="6" t="s">
        <v>14</v>
      </c>
      <c r="P1" s="6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/>
      <c r="W1" s="8"/>
      <c r="X1" s="8"/>
      <c r="Y1" s="9"/>
      <c r="Z1" s="9"/>
      <c r="AA1" s="9"/>
      <c r="AB1" s="9"/>
    </row>
    <row r="2">
      <c r="A2" s="1" t="s">
        <v>21</v>
      </c>
      <c r="B2" s="1">
        <v>179165.0</v>
      </c>
      <c r="C2" s="1">
        <v>437.5</v>
      </c>
      <c r="D2" s="2" t="s">
        <v>22</v>
      </c>
      <c r="E2" s="10">
        <v>0.582</v>
      </c>
      <c r="F2" s="11" t="s">
        <v>23</v>
      </c>
      <c r="G2" s="12">
        <v>48980.0</v>
      </c>
      <c r="H2" s="12">
        <v>354475.0</v>
      </c>
      <c r="I2" s="1">
        <v>88.5</v>
      </c>
      <c r="J2" s="1">
        <v>27.7</v>
      </c>
      <c r="K2" s="1">
        <v>970.0</v>
      </c>
      <c r="L2" s="1">
        <v>10.79</v>
      </c>
      <c r="M2" s="1">
        <v>68769.0</v>
      </c>
      <c r="N2" s="1">
        <v>7.4</v>
      </c>
      <c r="O2" s="1">
        <v>4.1</v>
      </c>
      <c r="P2" s="1">
        <v>71.62</v>
      </c>
      <c r="Q2" s="1">
        <v>23.8</v>
      </c>
      <c r="R2" s="1">
        <v>5.0</v>
      </c>
      <c r="S2" s="1">
        <v>37.3</v>
      </c>
      <c r="T2" s="1">
        <v>3.1</v>
      </c>
      <c r="U2" s="1">
        <v>5.7</v>
      </c>
      <c r="V2" s="13"/>
      <c r="W2" s="13"/>
      <c r="X2" s="13"/>
      <c r="Y2" s="14"/>
      <c r="Z2" s="15"/>
      <c r="AA2" s="14"/>
      <c r="AB2" s="16"/>
    </row>
    <row r="3">
      <c r="A3" s="1" t="s">
        <v>24</v>
      </c>
      <c r="B3" s="1">
        <v>36473.0</v>
      </c>
      <c r="C3" s="1">
        <v>140.5</v>
      </c>
      <c r="D3" s="2" t="s">
        <v>25</v>
      </c>
      <c r="E3" s="17">
        <v>0.275</v>
      </c>
      <c r="F3" s="18" t="s">
        <v>26</v>
      </c>
      <c r="G3" s="12">
        <v>48035.0</v>
      </c>
      <c r="H3" s="12">
        <v>367450.0</v>
      </c>
      <c r="I3" s="1">
        <v>85.6</v>
      </c>
      <c r="J3" s="1">
        <v>15.4</v>
      </c>
      <c r="K3" s="1">
        <v>2558.0</v>
      </c>
      <c r="L3" s="1">
        <v>3.66</v>
      </c>
      <c r="M3" s="1">
        <v>50799.0</v>
      </c>
      <c r="N3" s="1">
        <v>7.7</v>
      </c>
      <c r="O3" s="1">
        <v>3.9</v>
      </c>
      <c r="P3" s="1">
        <v>113.5</v>
      </c>
      <c r="Q3" s="1">
        <v>24.1</v>
      </c>
      <c r="R3" s="1">
        <v>2.5</v>
      </c>
      <c r="S3" s="1">
        <v>33.9</v>
      </c>
      <c r="T3" s="1">
        <v>2.0</v>
      </c>
      <c r="U3" s="1">
        <v>4.2</v>
      </c>
      <c r="V3" s="12"/>
      <c r="W3" s="12"/>
      <c r="X3" s="13"/>
      <c r="Y3" s="14"/>
      <c r="Z3" s="15"/>
      <c r="AA3" s="14"/>
      <c r="AB3" s="16"/>
    </row>
    <row r="4">
      <c r="A4" s="1" t="s">
        <v>27</v>
      </c>
      <c r="B4" s="1">
        <v>11342.0</v>
      </c>
      <c r="C4" s="1">
        <v>49.7</v>
      </c>
      <c r="D4" s="2" t="s">
        <v>28</v>
      </c>
      <c r="E4" s="17">
        <v>0.274</v>
      </c>
      <c r="F4" s="18" t="s">
        <v>29</v>
      </c>
      <c r="G4" s="12">
        <v>44464.0</v>
      </c>
      <c r="H4" s="12">
        <v>468750.0</v>
      </c>
      <c r="I4" s="1">
        <v>83.1</v>
      </c>
      <c r="J4" s="1">
        <v>22.8</v>
      </c>
      <c r="K4" s="1">
        <v>4162.0</v>
      </c>
      <c r="L4" s="1">
        <v>1.49</v>
      </c>
      <c r="M4" s="1">
        <v>63298.0</v>
      </c>
      <c r="N4" s="1">
        <v>6.4</v>
      </c>
      <c r="O4" s="1">
        <v>4.0</v>
      </c>
      <c r="P4" s="1">
        <v>113.78</v>
      </c>
      <c r="Q4" s="1">
        <v>24.3</v>
      </c>
      <c r="R4" s="1">
        <v>3.6</v>
      </c>
      <c r="S4" s="1">
        <v>36.2</v>
      </c>
      <c r="T4" s="1">
        <v>3.9</v>
      </c>
      <c r="U4" s="1">
        <v>7.6</v>
      </c>
      <c r="V4" s="12"/>
      <c r="W4" s="12"/>
      <c r="X4" s="13"/>
      <c r="Y4" s="14"/>
      <c r="Z4" s="15"/>
      <c r="AA4" s="14"/>
      <c r="AB4" s="16"/>
    </row>
    <row r="5">
      <c r="A5" s="1" t="s">
        <v>30</v>
      </c>
      <c r="B5" s="1">
        <v>21897.0</v>
      </c>
      <c r="C5" s="1">
        <v>40.4</v>
      </c>
      <c r="D5" s="2" t="s">
        <v>31</v>
      </c>
      <c r="E5" s="17">
        <v>0.569</v>
      </c>
      <c r="F5" s="18" t="s">
        <v>32</v>
      </c>
      <c r="G5" s="12">
        <v>50187.0</v>
      </c>
      <c r="H5" s="12">
        <v>197500.0</v>
      </c>
      <c r="I5" s="1">
        <v>82.4</v>
      </c>
      <c r="J5" s="1">
        <v>10.9</v>
      </c>
      <c r="K5" s="1">
        <v>633.0</v>
      </c>
      <c r="L5" s="1">
        <v>5.64</v>
      </c>
      <c r="M5" s="1">
        <v>84695.0</v>
      </c>
      <c r="N5" s="1">
        <v>7.5</v>
      </c>
      <c r="O5" s="1">
        <v>4.8</v>
      </c>
      <c r="P5" s="1">
        <v>120.31</v>
      </c>
      <c r="Q5" s="1">
        <v>28.3</v>
      </c>
      <c r="R5" s="1">
        <v>4.4</v>
      </c>
      <c r="S5" s="1">
        <v>42.7</v>
      </c>
      <c r="T5" s="1">
        <v>2.8</v>
      </c>
      <c r="U5" s="1">
        <v>3.7</v>
      </c>
      <c r="V5" s="12"/>
      <c r="W5" s="12"/>
      <c r="X5" s="13"/>
      <c r="Y5" s="14"/>
      <c r="Z5" s="15"/>
      <c r="AA5" s="14"/>
      <c r="AB5" s="16"/>
    </row>
    <row r="6">
      <c r="A6" s="1" t="s">
        <v>33</v>
      </c>
      <c r="B6" s="1">
        <v>27063.0</v>
      </c>
      <c r="C6" s="1">
        <v>62.4</v>
      </c>
      <c r="D6" s="2" t="s">
        <v>28</v>
      </c>
      <c r="E6" s="17">
        <v>0.179</v>
      </c>
      <c r="F6" s="18" t="s">
        <v>34</v>
      </c>
      <c r="G6" s="12">
        <v>44433.0</v>
      </c>
      <c r="H6" s="12">
        <v>557500.0</v>
      </c>
      <c r="I6" s="1">
        <v>87.5</v>
      </c>
      <c r="J6" s="1">
        <v>22.4</v>
      </c>
      <c r="K6" s="1">
        <v>5207.0</v>
      </c>
      <c r="L6" s="1">
        <v>3.13</v>
      </c>
      <c r="M6" s="1">
        <v>84498.0</v>
      </c>
      <c r="N6" s="1">
        <v>5.9</v>
      </c>
      <c r="O6" s="1">
        <v>3.5</v>
      </c>
      <c r="P6" s="1">
        <v>94.84</v>
      </c>
      <c r="Q6" s="1">
        <v>25.7</v>
      </c>
      <c r="R6" s="1">
        <v>3.0</v>
      </c>
      <c r="S6" s="1">
        <v>33.8</v>
      </c>
      <c r="T6" s="1">
        <v>3.6</v>
      </c>
      <c r="U6" s="1">
        <v>5.9</v>
      </c>
      <c r="V6" s="12"/>
      <c r="W6" s="12"/>
      <c r="X6" s="13"/>
      <c r="Y6" s="14"/>
      <c r="Z6" s="15"/>
      <c r="AA6" s="14"/>
      <c r="AB6" s="16"/>
    </row>
    <row r="7">
      <c r="A7" s="1" t="s">
        <v>35</v>
      </c>
      <c r="B7" s="1">
        <v>17561.0</v>
      </c>
      <c r="C7" s="1">
        <v>71.0</v>
      </c>
      <c r="D7" s="2" t="s">
        <v>28</v>
      </c>
      <c r="E7" s="17">
        <v>0.232</v>
      </c>
      <c r="F7" s="18" t="s">
        <v>36</v>
      </c>
      <c r="G7" s="12">
        <v>45653.0</v>
      </c>
      <c r="H7" s="12">
        <v>512725.0</v>
      </c>
      <c r="I7" s="1">
        <v>86.4</v>
      </c>
      <c r="J7" s="1">
        <v>21.9</v>
      </c>
      <c r="K7" s="1">
        <v>6194.0</v>
      </c>
      <c r="L7" s="1">
        <v>0.14</v>
      </c>
      <c r="M7" s="1">
        <v>22598.0</v>
      </c>
      <c r="N7" s="1">
        <v>5.7</v>
      </c>
      <c r="O7" s="1">
        <v>3.7</v>
      </c>
      <c r="P7" s="1">
        <v>109.37</v>
      </c>
      <c r="Q7" s="1">
        <v>21.5</v>
      </c>
      <c r="R7" s="1">
        <v>3.2</v>
      </c>
      <c r="S7" s="1">
        <v>32.6</v>
      </c>
      <c r="T7" s="1">
        <v>2.8</v>
      </c>
      <c r="U7" s="1">
        <v>6.8</v>
      </c>
      <c r="V7" s="12"/>
      <c r="W7" s="12"/>
      <c r="X7" s="13"/>
      <c r="Y7" s="14"/>
      <c r="Z7" s="15"/>
      <c r="AA7" s="14"/>
      <c r="AB7" s="16"/>
    </row>
    <row r="8">
      <c r="A8" s="1" t="s">
        <v>37</v>
      </c>
      <c r="B8" s="1">
        <v>44481.0</v>
      </c>
      <c r="C8" s="1">
        <v>52.7</v>
      </c>
      <c r="D8" s="2" t="s">
        <v>38</v>
      </c>
      <c r="E8" s="17">
        <v>0.507</v>
      </c>
      <c r="F8" s="11" t="s">
        <v>39</v>
      </c>
      <c r="G8" s="12">
        <v>54554.0</v>
      </c>
      <c r="H8" s="12">
        <v>442300.0</v>
      </c>
      <c r="I8" s="1">
        <v>88.1</v>
      </c>
      <c r="J8" s="1">
        <v>20.6</v>
      </c>
      <c r="K8" s="1">
        <v>66.0</v>
      </c>
      <c r="L8" s="1">
        <v>131.02</v>
      </c>
      <c r="M8" s="1">
        <v>139853.0</v>
      </c>
      <c r="N8" s="1">
        <v>5.9</v>
      </c>
      <c r="O8" s="1">
        <v>3.9</v>
      </c>
      <c r="P8" s="1">
        <v>90.35</v>
      </c>
      <c r="Q8" s="1">
        <v>24.6</v>
      </c>
      <c r="R8" s="1">
        <v>2.7</v>
      </c>
      <c r="S8" s="1">
        <v>38.4</v>
      </c>
      <c r="T8" s="1">
        <v>3.4</v>
      </c>
      <c r="U8" s="1">
        <v>6.0</v>
      </c>
      <c r="V8" s="12"/>
      <c r="W8" s="12"/>
      <c r="X8" s="13"/>
      <c r="Y8" s="14"/>
      <c r="Z8" s="15"/>
      <c r="AA8" s="14"/>
      <c r="AB8" s="16"/>
    </row>
    <row r="9">
      <c r="A9" s="1" t="s">
        <v>40</v>
      </c>
      <c r="B9" s="1">
        <v>16922.0</v>
      </c>
      <c r="C9" s="1">
        <v>23.7</v>
      </c>
      <c r="D9" s="2" t="s">
        <v>28</v>
      </c>
      <c r="E9" s="17">
        <v>0.521</v>
      </c>
      <c r="F9" s="18" t="s">
        <v>41</v>
      </c>
      <c r="G9" s="12">
        <v>49409.0</v>
      </c>
      <c r="H9" s="12">
        <v>210000.0</v>
      </c>
      <c r="I9" s="1">
        <v>82.0</v>
      </c>
      <c r="J9" s="1">
        <v>17.8</v>
      </c>
      <c r="K9" s="1">
        <v>100.0</v>
      </c>
      <c r="L9" s="1">
        <v>41.98</v>
      </c>
      <c r="M9" s="1">
        <v>161862.0</v>
      </c>
      <c r="N9" s="1">
        <v>6.1</v>
      </c>
      <c r="O9" s="1">
        <v>5.5</v>
      </c>
      <c r="P9" s="1">
        <v>128.0</v>
      </c>
      <c r="Q9" s="1">
        <v>25.7</v>
      </c>
      <c r="R9" s="1">
        <v>2.0</v>
      </c>
      <c r="S9" s="1">
        <v>43.2</v>
      </c>
      <c r="T9" s="1">
        <v>2.1</v>
      </c>
      <c r="U9" s="1">
        <v>3.3</v>
      </c>
      <c r="V9" s="12"/>
      <c r="W9" s="12"/>
      <c r="X9" s="13"/>
      <c r="Y9" s="14"/>
      <c r="Z9" s="15"/>
      <c r="AA9" s="14"/>
      <c r="AB9" s="16"/>
    </row>
    <row r="10">
      <c r="A10" s="1" t="s">
        <v>42</v>
      </c>
      <c r="B10" s="1">
        <v>29484.0</v>
      </c>
      <c r="C10" s="1">
        <v>34.1</v>
      </c>
      <c r="D10" s="2" t="s">
        <v>28</v>
      </c>
      <c r="E10" s="17">
        <v>0.602</v>
      </c>
      <c r="F10" s="18" t="s">
        <v>43</v>
      </c>
      <c r="G10" s="12">
        <v>48424.0</v>
      </c>
      <c r="H10" s="12">
        <v>214300.0</v>
      </c>
      <c r="I10" s="1">
        <v>88.6</v>
      </c>
      <c r="J10" s="1">
        <v>20.6</v>
      </c>
      <c r="K10" s="1">
        <v>170.0</v>
      </c>
      <c r="L10" s="1">
        <v>12.83</v>
      </c>
      <c r="M10" s="1">
        <v>146195.0</v>
      </c>
      <c r="N10" s="1">
        <v>6.2</v>
      </c>
      <c r="O10" s="1">
        <v>5.7</v>
      </c>
      <c r="P10" s="1">
        <v>129.01</v>
      </c>
      <c r="Q10" s="1">
        <v>24.4</v>
      </c>
      <c r="R10" s="1">
        <v>4.5</v>
      </c>
      <c r="S10" s="1">
        <v>38.6</v>
      </c>
      <c r="T10" s="1">
        <v>3.0</v>
      </c>
      <c r="U10" s="1">
        <v>5.2</v>
      </c>
      <c r="V10" s="12"/>
      <c r="W10" s="12"/>
      <c r="X10" s="13"/>
      <c r="Y10" s="14"/>
      <c r="Z10" s="15"/>
      <c r="AA10" s="14"/>
      <c r="AB10" s="16"/>
    </row>
    <row r="11">
      <c r="A11" s="1" t="s">
        <v>44</v>
      </c>
      <c r="B11" s="1">
        <v>159964.0</v>
      </c>
      <c r="C11" s="1">
        <v>205.9</v>
      </c>
      <c r="D11" s="2" t="s">
        <v>25</v>
      </c>
      <c r="E11" s="17">
        <v>0.323</v>
      </c>
      <c r="F11" s="18" t="s">
        <v>45</v>
      </c>
      <c r="G11" s="12">
        <v>58281.0</v>
      </c>
      <c r="H11" s="12">
        <v>441000.0</v>
      </c>
      <c r="I11" s="1">
        <v>93.3</v>
      </c>
      <c r="J11" s="1">
        <v>33.2</v>
      </c>
      <c r="K11" s="1">
        <v>75.0</v>
      </c>
      <c r="L11" s="1">
        <v>202.85</v>
      </c>
      <c r="M11" s="1">
        <v>45150.0</v>
      </c>
      <c r="N11" s="1">
        <v>6.2</v>
      </c>
      <c r="O11" s="1">
        <v>4.6</v>
      </c>
      <c r="P11" s="1">
        <v>84.23</v>
      </c>
      <c r="Q11" s="1">
        <v>24.2</v>
      </c>
      <c r="R11" s="1">
        <v>4.0</v>
      </c>
      <c r="S11" s="1">
        <v>31.1</v>
      </c>
      <c r="T11" s="1">
        <v>2.0</v>
      </c>
      <c r="U11" s="1">
        <v>5.8</v>
      </c>
      <c r="V11" s="12"/>
      <c r="W11" s="12"/>
      <c r="X11" s="13"/>
      <c r="Y11" s="14"/>
      <c r="Z11" s="15"/>
      <c r="AA11" s="14"/>
      <c r="AB11" s="16"/>
    </row>
    <row r="12">
      <c r="A12" s="1" t="s">
        <v>46</v>
      </c>
      <c r="B12" s="1">
        <v>275901.0</v>
      </c>
      <c r="C12" s="1">
        <v>431.1</v>
      </c>
      <c r="D12" s="2" t="s">
        <v>25</v>
      </c>
      <c r="E12" s="17">
        <v>0.352</v>
      </c>
      <c r="F12" s="18" t="s">
        <v>47</v>
      </c>
      <c r="G12" s="12">
        <v>61560.0</v>
      </c>
      <c r="H12" s="12">
        <v>617515.0</v>
      </c>
      <c r="I12" s="1">
        <v>92.3</v>
      </c>
      <c r="J12" s="1">
        <v>44.6</v>
      </c>
      <c r="K12" s="1">
        <v>6377.0</v>
      </c>
      <c r="L12" s="1">
        <v>3.47</v>
      </c>
      <c r="M12" s="1">
        <v>78245.0</v>
      </c>
      <c r="N12" s="1">
        <v>5.1</v>
      </c>
      <c r="O12" s="1">
        <v>4.2</v>
      </c>
      <c r="P12" s="1">
        <v>58.69</v>
      </c>
      <c r="Q12" s="1">
        <v>20.1</v>
      </c>
      <c r="R12" s="1">
        <v>4.6</v>
      </c>
      <c r="S12" s="1">
        <v>26.3</v>
      </c>
      <c r="T12" s="1">
        <v>3.5</v>
      </c>
      <c r="U12" s="1">
        <v>10.5</v>
      </c>
      <c r="V12" s="12"/>
      <c r="W12" s="12"/>
      <c r="X12" s="13"/>
      <c r="Y12" s="14"/>
      <c r="Z12" s="15"/>
      <c r="AA12" s="14"/>
      <c r="AB12" s="16"/>
    </row>
    <row r="13">
      <c r="A13" s="1" t="s">
        <v>48</v>
      </c>
      <c r="B13" s="1">
        <v>88338.0</v>
      </c>
      <c r="C13" s="1">
        <v>179.8</v>
      </c>
      <c r="D13" s="2" t="s">
        <v>25</v>
      </c>
      <c r="E13" s="17">
        <v>0.373</v>
      </c>
      <c r="F13" s="18" t="s">
        <v>49</v>
      </c>
      <c r="G13" s="12">
        <v>44631.0</v>
      </c>
      <c r="H13" s="12">
        <v>343750.0</v>
      </c>
      <c r="I13" s="1">
        <v>85.1</v>
      </c>
      <c r="J13" s="1">
        <v>20.2</v>
      </c>
      <c r="K13" s="1">
        <v>4287.0</v>
      </c>
      <c r="L13" s="1">
        <v>7.98</v>
      </c>
      <c r="M13" s="1">
        <v>44077.0</v>
      </c>
      <c r="N13" s="1">
        <v>7.5</v>
      </c>
      <c r="O13" s="1">
        <v>4.1</v>
      </c>
      <c r="P13" s="1">
        <v>91.78</v>
      </c>
      <c r="Q13" s="1">
        <v>21.9</v>
      </c>
      <c r="R13" s="1">
        <v>4.8</v>
      </c>
      <c r="S13" s="1">
        <v>31.9</v>
      </c>
      <c r="T13" s="1">
        <v>3.1</v>
      </c>
      <c r="U13" s="1">
        <v>5.4</v>
      </c>
      <c r="V13" s="12"/>
      <c r="W13" s="12"/>
      <c r="X13" s="13"/>
      <c r="Y13" s="14"/>
      <c r="Z13" s="15"/>
      <c r="AA13" s="14"/>
      <c r="AB13" s="16"/>
    </row>
    <row r="14">
      <c r="A14" s="1" t="s">
        <v>50</v>
      </c>
      <c r="B14" s="1">
        <v>240016.0</v>
      </c>
      <c r="C14" s="1">
        <v>693.2</v>
      </c>
      <c r="D14" s="2" t="s">
        <v>31</v>
      </c>
      <c r="E14" s="17">
        <v>0.596</v>
      </c>
      <c r="F14" s="11" t="s">
        <v>23</v>
      </c>
      <c r="G14" s="12">
        <v>54754.0</v>
      </c>
      <c r="H14" s="12">
        <v>399475.0</v>
      </c>
      <c r="I14" s="1">
        <v>91.8</v>
      </c>
      <c r="J14" s="1">
        <v>37.7</v>
      </c>
      <c r="K14" s="1">
        <v>898.0</v>
      </c>
      <c r="L14" s="1">
        <v>2.72</v>
      </c>
      <c r="M14" s="1">
        <v>64227.0</v>
      </c>
      <c r="N14" s="1">
        <v>8.5</v>
      </c>
      <c r="O14" s="1">
        <v>3.8</v>
      </c>
      <c r="P14" s="1">
        <v>68.31</v>
      </c>
      <c r="Q14" s="1">
        <v>27.8</v>
      </c>
      <c r="R14" s="1">
        <v>4.4</v>
      </c>
      <c r="S14" s="1">
        <v>35.1</v>
      </c>
      <c r="T14" s="1">
        <v>2.8</v>
      </c>
      <c r="U14" s="1">
        <v>6.5</v>
      </c>
      <c r="V14" s="12"/>
      <c r="W14" s="12"/>
      <c r="X14" s="13"/>
      <c r="Y14" s="14"/>
      <c r="Z14" s="15"/>
      <c r="AA14" s="14"/>
      <c r="AB14" s="16"/>
    </row>
    <row r="15">
      <c r="A15" s="1" t="s">
        <v>51</v>
      </c>
      <c r="B15" s="1">
        <v>80574.0</v>
      </c>
      <c r="C15" s="1">
        <v>175.1</v>
      </c>
      <c r="D15" s="2" t="s">
        <v>25</v>
      </c>
      <c r="E15" s="17">
        <v>0.284</v>
      </c>
      <c r="F15" s="18" t="s">
        <v>29</v>
      </c>
      <c r="G15" s="12">
        <v>44761.0</v>
      </c>
      <c r="H15" s="12">
        <v>351225.0</v>
      </c>
      <c r="I15" s="1">
        <v>82.8</v>
      </c>
      <c r="J15" s="1">
        <v>18.6</v>
      </c>
      <c r="K15" s="1">
        <v>5945.0</v>
      </c>
      <c r="L15" s="1">
        <v>2.75</v>
      </c>
      <c r="M15" s="1">
        <v>35964.0</v>
      </c>
      <c r="N15" s="1">
        <v>7.4</v>
      </c>
      <c r="O15" s="1">
        <v>4.1</v>
      </c>
      <c r="P15" s="1">
        <v>90.68</v>
      </c>
      <c r="Q15" s="1">
        <v>24.1</v>
      </c>
      <c r="R15" s="1">
        <v>4.1</v>
      </c>
      <c r="S15" s="1">
        <v>35.2</v>
      </c>
      <c r="T15" s="1">
        <v>3.1</v>
      </c>
      <c r="U15" s="1">
        <v>5.5</v>
      </c>
      <c r="V15" s="12"/>
      <c r="W15" s="12"/>
      <c r="X15" s="13"/>
      <c r="Y15" s="14"/>
      <c r="Z15" s="15"/>
      <c r="AA15" s="14"/>
      <c r="AB15" s="16"/>
    </row>
    <row r="16">
      <c r="A16" s="1" t="s">
        <v>52</v>
      </c>
      <c r="B16" s="1">
        <v>11137.0</v>
      </c>
      <c r="C16" s="1">
        <v>44.6</v>
      </c>
      <c r="D16" s="2" t="s">
        <v>31</v>
      </c>
      <c r="E16" s="17">
        <v>0.359</v>
      </c>
      <c r="F16" s="18" t="s">
        <v>53</v>
      </c>
      <c r="G16" s="12">
        <v>56906.0</v>
      </c>
      <c r="H16" s="12">
        <v>417350.0</v>
      </c>
      <c r="I16" s="1">
        <v>93.0</v>
      </c>
      <c r="J16" s="1">
        <v>25.8</v>
      </c>
      <c r="K16" s="1">
        <v>20.0</v>
      </c>
      <c r="L16" s="1">
        <v>69.66</v>
      </c>
      <c r="M16" s="1">
        <v>54621.0</v>
      </c>
      <c r="N16" s="1">
        <v>6.0</v>
      </c>
      <c r="O16" s="1">
        <v>3.4</v>
      </c>
      <c r="P16" s="1">
        <v>127.71</v>
      </c>
      <c r="Q16" s="1">
        <v>32.8</v>
      </c>
      <c r="R16" s="1">
        <v>0.8</v>
      </c>
      <c r="S16" s="1">
        <v>35.1</v>
      </c>
      <c r="T16" s="1">
        <v>1.6</v>
      </c>
      <c r="U16" s="1">
        <v>7.2</v>
      </c>
      <c r="V16" s="12"/>
      <c r="W16" s="12"/>
      <c r="X16" s="13"/>
      <c r="Y16" s="14"/>
      <c r="Z16" s="15"/>
      <c r="AA16" s="14"/>
      <c r="AB16" s="16"/>
    </row>
    <row r="17">
      <c r="A17" s="1" t="s">
        <v>54</v>
      </c>
      <c r="B17" s="1">
        <v>69615.0</v>
      </c>
      <c r="C17" s="1">
        <v>140.5</v>
      </c>
      <c r="D17" s="2" t="s">
        <v>38</v>
      </c>
      <c r="E17" s="17">
        <v>0.271</v>
      </c>
      <c r="F17" s="18" t="s">
        <v>49</v>
      </c>
      <c r="G17" s="12">
        <v>63531.0</v>
      </c>
      <c r="H17" s="12">
        <v>599325.0</v>
      </c>
      <c r="I17" s="1">
        <v>92.7</v>
      </c>
      <c r="J17" s="1">
        <v>32.3</v>
      </c>
      <c r="K17" s="1">
        <v>58.0</v>
      </c>
      <c r="L17" s="1">
        <v>834.37</v>
      </c>
      <c r="M17" s="1">
        <v>60950.0</v>
      </c>
      <c r="N17" s="1">
        <v>5.7</v>
      </c>
      <c r="O17" s="1">
        <v>3.7</v>
      </c>
      <c r="P17" s="1">
        <v>82.94</v>
      </c>
      <c r="Q17" s="1">
        <v>23.2</v>
      </c>
      <c r="R17" s="1">
        <v>5.2</v>
      </c>
      <c r="S17" s="1">
        <v>31.7</v>
      </c>
      <c r="T17" s="1">
        <v>2.6</v>
      </c>
      <c r="U17" s="1">
        <v>7.4</v>
      </c>
      <c r="V17" s="12"/>
      <c r="W17" s="12"/>
      <c r="X17" s="13"/>
      <c r="Y17" s="14"/>
      <c r="Z17" s="15"/>
      <c r="AA17" s="14"/>
      <c r="AB17" s="16"/>
    </row>
    <row r="18">
      <c r="A18" s="1" t="s">
        <v>55</v>
      </c>
      <c r="B18" s="1">
        <v>22807.0</v>
      </c>
      <c r="C18" s="1">
        <v>52.8</v>
      </c>
      <c r="D18" s="2" t="s">
        <v>28</v>
      </c>
      <c r="E18" s="17">
        <v>0.526</v>
      </c>
      <c r="F18" s="18" t="s">
        <v>56</v>
      </c>
      <c r="G18" s="12">
        <v>41155.0</v>
      </c>
      <c r="H18" s="12">
        <v>328675.0</v>
      </c>
      <c r="I18" s="1">
        <v>83.7</v>
      </c>
      <c r="J18" s="1">
        <v>16.0</v>
      </c>
      <c r="K18" s="1">
        <v>880.0</v>
      </c>
      <c r="L18" s="1">
        <v>3.33</v>
      </c>
      <c r="M18" s="1">
        <v>84373.0</v>
      </c>
      <c r="N18" s="1">
        <v>7.3</v>
      </c>
      <c r="O18" s="1">
        <v>4.1</v>
      </c>
      <c r="P18" s="1">
        <v>116.65</v>
      </c>
      <c r="Q18" s="1">
        <v>30.7</v>
      </c>
      <c r="R18" s="1">
        <v>4.2</v>
      </c>
      <c r="S18" s="1">
        <v>35.8</v>
      </c>
      <c r="T18" s="1">
        <v>2.4</v>
      </c>
      <c r="U18" s="1">
        <v>3.6</v>
      </c>
      <c r="V18" s="12"/>
      <c r="W18" s="12"/>
      <c r="X18" s="13"/>
      <c r="Y18" s="14"/>
      <c r="Z18" s="15"/>
      <c r="AA18" s="14"/>
      <c r="AB18" s="16"/>
    </row>
    <row r="19">
      <c r="A19" s="1" t="s">
        <v>57</v>
      </c>
      <c r="B19" s="1">
        <v>164645.0</v>
      </c>
      <c r="C19" s="1">
        <v>423.3</v>
      </c>
      <c r="D19" s="2" t="s">
        <v>25</v>
      </c>
      <c r="E19" s="17">
        <v>0.456</v>
      </c>
      <c r="F19" s="18" t="s">
        <v>58</v>
      </c>
      <c r="G19" s="12">
        <v>55223.0</v>
      </c>
      <c r="H19" s="12">
        <v>384958.0</v>
      </c>
      <c r="I19" s="1">
        <v>87.5</v>
      </c>
      <c r="J19" s="1">
        <v>24.9</v>
      </c>
      <c r="K19" s="1">
        <v>1786.0</v>
      </c>
      <c r="L19" s="1">
        <v>14.69</v>
      </c>
      <c r="M19" s="1">
        <v>61631.0</v>
      </c>
      <c r="N19" s="1">
        <v>7.9</v>
      </c>
      <c r="O19" s="1">
        <v>3.9</v>
      </c>
      <c r="P19" s="1">
        <v>76.36</v>
      </c>
      <c r="Q19" s="1">
        <v>22.4</v>
      </c>
      <c r="R19" s="1">
        <v>4.0</v>
      </c>
      <c r="S19" s="1">
        <v>33.8</v>
      </c>
      <c r="T19" s="1">
        <v>3.1</v>
      </c>
      <c r="U19" s="1">
        <v>5.5</v>
      </c>
      <c r="V19" s="12"/>
      <c r="W19" s="12"/>
      <c r="X19" s="13"/>
      <c r="Y19" s="14"/>
      <c r="Z19" s="15"/>
      <c r="AA19" s="14"/>
      <c r="AB19" s="16"/>
    </row>
    <row r="20">
      <c r="A20" s="1" t="s">
        <v>59</v>
      </c>
      <c r="B20" s="1">
        <v>81624.0</v>
      </c>
      <c r="C20" s="1">
        <v>123.4</v>
      </c>
      <c r="D20" s="2" t="s">
        <v>25</v>
      </c>
      <c r="E20" s="17">
        <v>0.485</v>
      </c>
      <c r="F20" s="11" t="s">
        <v>60</v>
      </c>
      <c r="G20" s="12">
        <v>79769.0</v>
      </c>
      <c r="H20" s="12">
        <v>841500.0</v>
      </c>
      <c r="I20" s="1">
        <v>90.4</v>
      </c>
      <c r="J20" s="1">
        <v>48.0</v>
      </c>
      <c r="K20" s="1">
        <v>774.0</v>
      </c>
      <c r="L20" s="1">
        <v>27.65</v>
      </c>
      <c r="M20" s="1">
        <v>114051.0</v>
      </c>
      <c r="N20" s="1">
        <v>7.5</v>
      </c>
      <c r="O20" s="1">
        <v>3.0</v>
      </c>
      <c r="P20" s="1">
        <v>84.08</v>
      </c>
      <c r="Q20" s="1">
        <v>29.6</v>
      </c>
      <c r="R20" s="1">
        <v>3.0</v>
      </c>
      <c r="S20" s="1">
        <v>30.8</v>
      </c>
      <c r="T20" s="1">
        <v>1.6</v>
      </c>
      <c r="U20" s="1">
        <v>4.2</v>
      </c>
      <c r="V20" s="12"/>
      <c r="W20" s="12"/>
      <c r="X20" s="13"/>
      <c r="Y20" s="14"/>
      <c r="Z20" s="15"/>
      <c r="AA20" s="14"/>
      <c r="AB20" s="16"/>
    </row>
    <row r="21">
      <c r="A21" s="1" t="s">
        <v>61</v>
      </c>
      <c r="B21" s="1">
        <v>29959.0</v>
      </c>
      <c r="C21" s="1">
        <v>66.2</v>
      </c>
      <c r="D21" s="2" t="s">
        <v>28</v>
      </c>
      <c r="E21" s="17">
        <v>0.219</v>
      </c>
      <c r="F21" s="18" t="s">
        <v>62</v>
      </c>
      <c r="G21" s="12">
        <v>40021.0</v>
      </c>
      <c r="H21" s="12">
        <v>374475.0</v>
      </c>
      <c r="I21" s="1">
        <v>91.4</v>
      </c>
      <c r="J21" s="1">
        <v>24.2</v>
      </c>
      <c r="K21" s="1">
        <v>5060.0</v>
      </c>
      <c r="L21" s="1">
        <v>11.3</v>
      </c>
      <c r="M21" s="1">
        <v>25410.0</v>
      </c>
      <c r="N21" s="1">
        <v>6.1</v>
      </c>
      <c r="O21" s="1">
        <v>4.2</v>
      </c>
      <c r="P21" s="1">
        <v>91.93</v>
      </c>
      <c r="Q21" s="1">
        <v>24.1</v>
      </c>
      <c r="R21" s="1">
        <v>4.4</v>
      </c>
      <c r="S21" s="1">
        <v>31.5</v>
      </c>
      <c r="T21" s="1">
        <v>4.4</v>
      </c>
      <c r="U21" s="1">
        <v>8.2</v>
      </c>
      <c r="V21" s="12"/>
      <c r="W21" s="12"/>
      <c r="X21" s="13"/>
      <c r="Y21" s="14"/>
      <c r="Z21" s="15"/>
      <c r="AA21" s="14"/>
      <c r="AB21" s="16"/>
    </row>
    <row r="22">
      <c r="A22" s="1" t="s">
        <v>63</v>
      </c>
      <c r="B22" s="1">
        <v>13891.0</v>
      </c>
      <c r="C22" s="1">
        <v>79.7</v>
      </c>
      <c r="D22" s="2" t="s">
        <v>28</v>
      </c>
      <c r="E22" s="17">
        <v>0.532</v>
      </c>
      <c r="F22" s="18" t="s">
        <v>64</v>
      </c>
      <c r="G22" s="12">
        <v>51005.0</v>
      </c>
      <c r="H22" s="12">
        <v>309000.0</v>
      </c>
      <c r="I22" s="1">
        <v>87.4</v>
      </c>
      <c r="J22" s="1">
        <v>24.5</v>
      </c>
      <c r="K22" s="1">
        <v>52.0</v>
      </c>
      <c r="L22" s="1">
        <v>60.82</v>
      </c>
      <c r="M22" s="1">
        <v>73439.0</v>
      </c>
      <c r="N22" s="1">
        <v>5.7</v>
      </c>
      <c r="O22" s="1">
        <v>4.1</v>
      </c>
      <c r="P22" s="1">
        <v>104.92</v>
      </c>
      <c r="Q22" s="1">
        <v>29.3</v>
      </c>
      <c r="R22" s="1">
        <v>5.8</v>
      </c>
      <c r="S22" s="1">
        <v>39.0</v>
      </c>
      <c r="T22" s="1">
        <v>2.7</v>
      </c>
      <c r="U22" s="1">
        <v>5.5</v>
      </c>
      <c r="V22" s="12"/>
      <c r="W22" s="12"/>
      <c r="X22" s="13"/>
      <c r="Y22" s="14"/>
      <c r="Z22" s="15"/>
      <c r="AA22" s="14"/>
      <c r="AB22" s="16"/>
    </row>
    <row r="23">
      <c r="A23" s="1" t="s">
        <v>65</v>
      </c>
      <c r="B23" s="1">
        <v>11864.0</v>
      </c>
      <c r="C23" s="1">
        <v>56.3</v>
      </c>
      <c r="D23" s="2" t="s">
        <v>28</v>
      </c>
      <c r="E23" s="17">
        <v>0.176</v>
      </c>
      <c r="F23" s="18" t="s">
        <v>66</v>
      </c>
      <c r="G23" s="12">
        <v>43753.0</v>
      </c>
      <c r="H23" s="12">
        <v>479000.0</v>
      </c>
      <c r="I23" s="1">
        <v>89.9</v>
      </c>
      <c r="J23" s="1">
        <v>31.4</v>
      </c>
      <c r="K23" s="1">
        <v>5499.0</v>
      </c>
      <c r="L23" s="1">
        <v>5.88</v>
      </c>
      <c r="M23" s="1">
        <v>14515.0</v>
      </c>
      <c r="N23" s="1" t="s">
        <v>67</v>
      </c>
      <c r="O23" s="1">
        <v>4.2</v>
      </c>
      <c r="P23" s="1">
        <v>109.0</v>
      </c>
      <c r="Q23" s="1">
        <v>23.3</v>
      </c>
      <c r="R23" s="1">
        <v>4.2</v>
      </c>
      <c r="S23" s="1">
        <v>32.5</v>
      </c>
      <c r="T23" s="1">
        <v>2.9</v>
      </c>
      <c r="U23" s="1">
        <v>6.9</v>
      </c>
      <c r="V23" s="12"/>
      <c r="W23" s="12"/>
      <c r="X23" s="13"/>
      <c r="Y23" s="14"/>
      <c r="Z23" s="15"/>
      <c r="AA23" s="14"/>
      <c r="AB23" s="16"/>
    </row>
    <row r="24">
      <c r="A24" s="1" t="s">
        <v>68</v>
      </c>
      <c r="B24" s="1">
        <v>101378.0</v>
      </c>
      <c r="C24" s="1">
        <v>219.2</v>
      </c>
      <c r="D24" s="2" t="s">
        <v>38</v>
      </c>
      <c r="E24" s="17">
        <v>0.459</v>
      </c>
      <c r="F24" s="18" t="s">
        <v>69</v>
      </c>
      <c r="G24" s="12">
        <v>45126.0</v>
      </c>
      <c r="H24" s="12">
        <v>296450.0</v>
      </c>
      <c r="I24" s="1">
        <v>87.5</v>
      </c>
      <c r="J24" s="1">
        <v>21.1</v>
      </c>
      <c r="K24" s="1">
        <v>2895.0</v>
      </c>
      <c r="L24" s="1">
        <v>4.0</v>
      </c>
      <c r="M24" s="1">
        <v>104633.0</v>
      </c>
      <c r="N24" s="1">
        <v>8.1</v>
      </c>
      <c r="O24" s="1">
        <v>4.1</v>
      </c>
      <c r="P24" s="1">
        <v>79.87</v>
      </c>
      <c r="Q24" s="1">
        <v>24.0</v>
      </c>
      <c r="R24" s="1">
        <v>3.9</v>
      </c>
      <c r="S24" s="1">
        <v>37.6</v>
      </c>
      <c r="T24" s="1">
        <v>3.5</v>
      </c>
      <c r="U24" s="1">
        <v>5.7</v>
      </c>
      <c r="V24" s="12"/>
      <c r="W24" s="12"/>
      <c r="X24" s="13"/>
      <c r="Y24" s="14"/>
      <c r="Z24" s="15"/>
      <c r="AA24" s="14"/>
      <c r="AB24" s="16"/>
    </row>
    <row r="25">
      <c r="A25" s="1" t="s">
        <v>70</v>
      </c>
      <c r="B25" s="1">
        <v>50121.0</v>
      </c>
      <c r="C25" s="1">
        <v>55.0</v>
      </c>
      <c r="D25" s="2" t="s">
        <v>28</v>
      </c>
      <c r="E25" s="17">
        <v>0.562</v>
      </c>
      <c r="F25" s="18" t="s">
        <v>71</v>
      </c>
      <c r="G25" s="12">
        <v>44109.0</v>
      </c>
      <c r="H25" s="12">
        <v>261740.0</v>
      </c>
      <c r="I25" s="1">
        <v>86.5</v>
      </c>
      <c r="J25" s="1">
        <v>15.1</v>
      </c>
      <c r="K25" s="1">
        <v>132.0</v>
      </c>
      <c r="L25" s="1">
        <v>16.35</v>
      </c>
      <c r="M25" s="1">
        <v>125177.0</v>
      </c>
      <c r="N25" s="1">
        <v>6.5</v>
      </c>
      <c r="O25" s="1">
        <v>3.9</v>
      </c>
      <c r="P25" s="1">
        <v>88.68</v>
      </c>
      <c r="Q25" s="1">
        <v>26.3</v>
      </c>
      <c r="R25" s="1">
        <v>3.9</v>
      </c>
      <c r="S25" s="1">
        <v>38.8</v>
      </c>
      <c r="T25" s="1">
        <v>2.8</v>
      </c>
      <c r="U25" s="1">
        <v>4.9</v>
      </c>
      <c r="V25" s="12"/>
      <c r="W25" s="12"/>
      <c r="X25" s="13"/>
      <c r="Y25" s="14"/>
      <c r="Z25" s="15"/>
      <c r="AA25" s="14"/>
      <c r="AB25" s="16"/>
    </row>
    <row r="26">
      <c r="A26" s="1" t="s">
        <v>72</v>
      </c>
      <c r="B26" s="1">
        <v>102391.0</v>
      </c>
      <c r="C26" s="1">
        <v>146.2</v>
      </c>
      <c r="D26" s="2" t="s">
        <v>38</v>
      </c>
      <c r="E26" s="17">
        <v>0.537</v>
      </c>
      <c r="F26" s="18" t="s">
        <v>64</v>
      </c>
      <c r="G26" s="12">
        <v>54327.0</v>
      </c>
      <c r="H26" s="12">
        <v>347220.0</v>
      </c>
      <c r="I26" s="1">
        <v>91.8</v>
      </c>
      <c r="J26" s="1">
        <v>26.0</v>
      </c>
      <c r="K26" s="1">
        <v>66.0</v>
      </c>
      <c r="L26" s="1">
        <v>65.2</v>
      </c>
      <c r="M26" s="1">
        <v>100825.0</v>
      </c>
      <c r="N26" s="1">
        <v>5.7</v>
      </c>
      <c r="O26" s="1">
        <v>4.1</v>
      </c>
      <c r="P26" s="1">
        <v>78.31</v>
      </c>
      <c r="Q26" s="1">
        <v>20.8</v>
      </c>
      <c r="R26" s="1">
        <v>5.2</v>
      </c>
      <c r="S26" s="1">
        <v>35.4</v>
      </c>
      <c r="T26" s="1">
        <v>2.8</v>
      </c>
      <c r="U26" s="1">
        <v>6.5</v>
      </c>
      <c r="V26" s="12"/>
      <c r="W26" s="12"/>
      <c r="X26" s="13"/>
      <c r="Y26" s="14"/>
      <c r="Z26" s="15"/>
      <c r="AA26" s="14"/>
      <c r="AB26" s="16"/>
    </row>
    <row r="27">
      <c r="A27" s="1" t="s">
        <v>73</v>
      </c>
      <c r="B27" s="1">
        <v>337890.0</v>
      </c>
      <c r="C27" s="1">
        <v>517.9</v>
      </c>
      <c r="D27" s="2" t="s">
        <v>25</v>
      </c>
      <c r="E27" s="17">
        <v>0.685</v>
      </c>
      <c r="F27" s="18" t="s">
        <v>74</v>
      </c>
      <c r="G27" s="12">
        <v>46024.0</v>
      </c>
      <c r="H27" s="12">
        <v>302420.0</v>
      </c>
      <c r="I27" s="1">
        <v>92.6</v>
      </c>
      <c r="J27" s="1">
        <v>27.2</v>
      </c>
      <c r="K27" s="1">
        <v>485.0</v>
      </c>
      <c r="L27" s="1">
        <v>6.05</v>
      </c>
      <c r="M27" s="1">
        <v>65919.0</v>
      </c>
      <c r="N27" s="1">
        <v>6.8</v>
      </c>
      <c r="O27" s="1">
        <v>4.1</v>
      </c>
      <c r="P27" s="1">
        <v>66.7</v>
      </c>
      <c r="Q27" s="1">
        <v>21.0</v>
      </c>
      <c r="R27" s="1">
        <v>8.8</v>
      </c>
      <c r="S27" s="1">
        <v>38.2</v>
      </c>
      <c r="T27" s="1">
        <v>4.7</v>
      </c>
      <c r="U27" s="1">
        <v>9.7</v>
      </c>
      <c r="V27" s="12"/>
      <c r="W27" s="12"/>
      <c r="X27" s="13"/>
      <c r="Y27" s="14"/>
      <c r="Z27" s="15"/>
      <c r="AA27" s="14"/>
      <c r="AB27" s="16"/>
    </row>
    <row r="28">
      <c r="A28" s="1" t="s">
        <v>75</v>
      </c>
      <c r="B28" s="1">
        <v>31593.0</v>
      </c>
      <c r="C28" s="1">
        <v>125.5</v>
      </c>
      <c r="D28" s="2" t="s">
        <v>31</v>
      </c>
      <c r="E28" s="17">
        <v>0.293</v>
      </c>
      <c r="F28" s="18" t="s">
        <v>53</v>
      </c>
      <c r="G28" s="12">
        <v>59381.0</v>
      </c>
      <c r="H28" s="12">
        <v>652175.0</v>
      </c>
      <c r="I28" s="1">
        <v>93.9</v>
      </c>
      <c r="J28" s="1">
        <v>29.3</v>
      </c>
      <c r="K28" s="1">
        <v>59.0</v>
      </c>
      <c r="L28" s="1">
        <v>264.74</v>
      </c>
      <c r="M28" s="1">
        <v>37917.0</v>
      </c>
      <c r="N28" s="1">
        <v>6.0</v>
      </c>
      <c r="O28" s="1">
        <v>3.0</v>
      </c>
      <c r="P28" s="1">
        <v>108.62</v>
      </c>
      <c r="Q28" s="1">
        <v>37.2</v>
      </c>
      <c r="R28" s="1">
        <v>3.0</v>
      </c>
      <c r="S28" s="1">
        <v>34.3</v>
      </c>
      <c r="T28" s="1">
        <v>2.4</v>
      </c>
      <c r="U28" s="1">
        <v>15.2</v>
      </c>
      <c r="V28" s="12"/>
      <c r="W28" s="12"/>
      <c r="X28" s="13"/>
      <c r="Y28" s="14"/>
      <c r="Z28" s="15"/>
      <c r="AA28" s="14"/>
      <c r="AB28" s="16"/>
    </row>
    <row r="29">
      <c r="A29" s="1" t="s">
        <v>76</v>
      </c>
      <c r="B29" s="1">
        <v>38110.0</v>
      </c>
      <c r="C29" s="1">
        <v>99.9</v>
      </c>
      <c r="D29" s="2" t="s">
        <v>38</v>
      </c>
      <c r="E29" s="17">
        <v>0.246</v>
      </c>
      <c r="F29" s="18" t="s">
        <v>43</v>
      </c>
      <c r="G29" s="12">
        <v>76100.0</v>
      </c>
      <c r="H29" s="12">
        <v>724975.0</v>
      </c>
      <c r="I29" s="1">
        <v>95.2</v>
      </c>
      <c r="J29" s="1">
        <v>42.8</v>
      </c>
      <c r="K29" s="1">
        <v>91.0</v>
      </c>
      <c r="L29" s="1">
        <v>1179.14</v>
      </c>
      <c r="M29" s="1">
        <v>115.0</v>
      </c>
      <c r="N29" s="1">
        <v>5.9</v>
      </c>
      <c r="O29" s="1">
        <v>3.2</v>
      </c>
      <c r="P29" s="1">
        <v>107.09</v>
      </c>
      <c r="Q29" s="1">
        <v>21.1</v>
      </c>
      <c r="R29" s="1">
        <v>2.7</v>
      </c>
      <c r="S29" s="1">
        <v>30.1</v>
      </c>
      <c r="T29" s="1">
        <v>3.6</v>
      </c>
      <c r="U29" s="1">
        <v>23.6</v>
      </c>
      <c r="V29" s="12"/>
      <c r="W29" s="12"/>
      <c r="X29" s="13"/>
      <c r="Y29" s="14"/>
      <c r="Z29" s="15"/>
      <c r="AA29" s="14"/>
      <c r="AB29" s="16"/>
    </row>
    <row r="30">
      <c r="A30" s="1" t="s">
        <v>77</v>
      </c>
      <c r="B30" s="1">
        <v>174804.0</v>
      </c>
      <c r="C30" s="1">
        <v>326.3</v>
      </c>
      <c r="D30" s="2" t="s">
        <v>25</v>
      </c>
      <c r="E30" s="17">
        <v>0.395</v>
      </c>
      <c r="F30" s="18" t="s">
        <v>53</v>
      </c>
      <c r="G30" s="12">
        <v>48523.0</v>
      </c>
      <c r="H30" s="12">
        <v>333182.0</v>
      </c>
      <c r="I30" s="1">
        <v>87.7</v>
      </c>
      <c r="J30" s="1">
        <v>20.7</v>
      </c>
      <c r="K30" s="1">
        <v>1178.0</v>
      </c>
      <c r="L30" s="1">
        <v>14.34</v>
      </c>
      <c r="M30" s="1">
        <v>73655.0</v>
      </c>
      <c r="N30" s="1">
        <v>8.3</v>
      </c>
      <c r="O30" s="1">
        <v>4.2</v>
      </c>
      <c r="P30" s="1">
        <v>82.41</v>
      </c>
      <c r="Q30" s="1">
        <v>24.8</v>
      </c>
      <c r="R30" s="1">
        <v>2.9</v>
      </c>
      <c r="S30" s="1">
        <v>34.3</v>
      </c>
      <c r="T30" s="1">
        <v>2.9</v>
      </c>
      <c r="U30" s="1">
        <v>5.3</v>
      </c>
      <c r="V30" s="12"/>
      <c r="W30" s="12"/>
      <c r="X30" s="13"/>
      <c r="Y30" s="14"/>
      <c r="Z30" s="15"/>
      <c r="AA30" s="14"/>
      <c r="AB30" s="16"/>
    </row>
    <row r="31">
      <c r="A31" s="1" t="s">
        <v>78</v>
      </c>
      <c r="B31" s="1">
        <v>44599.0</v>
      </c>
      <c r="C31" s="1">
        <v>172.1</v>
      </c>
      <c r="D31" s="2" t="s">
        <v>25</v>
      </c>
      <c r="E31" s="17">
        <v>0.325</v>
      </c>
      <c r="F31" s="18" t="s">
        <v>34</v>
      </c>
      <c r="G31" s="12">
        <v>60579.0</v>
      </c>
      <c r="H31" s="12">
        <v>315550.0</v>
      </c>
      <c r="I31" s="1">
        <v>90.7</v>
      </c>
      <c r="J31" s="1">
        <v>26.8</v>
      </c>
      <c r="K31" s="1">
        <v>1010.0</v>
      </c>
      <c r="L31" s="1">
        <v>2.98</v>
      </c>
      <c r="M31" s="1">
        <v>74899.0</v>
      </c>
      <c r="N31" s="1">
        <v>8.3</v>
      </c>
      <c r="O31" s="1">
        <v>4.0</v>
      </c>
      <c r="P31" s="1">
        <v>97.05</v>
      </c>
      <c r="Q31" s="1">
        <v>26.2</v>
      </c>
      <c r="R31" s="1">
        <v>4.0</v>
      </c>
      <c r="S31" s="1">
        <v>33.9</v>
      </c>
      <c r="T31" s="1">
        <v>1.9</v>
      </c>
      <c r="U31" s="1">
        <v>5.3</v>
      </c>
      <c r="V31" s="12"/>
      <c r="W31" s="12"/>
      <c r="X31" s="13"/>
      <c r="Y31" s="14"/>
      <c r="Z31" s="15"/>
      <c r="AA31" s="14"/>
      <c r="AB31" s="16"/>
    </row>
    <row r="32">
      <c r="A32" s="1" t="s">
        <v>79</v>
      </c>
      <c r="B32" s="1">
        <v>49520.0</v>
      </c>
      <c r="C32" s="1">
        <v>61.8</v>
      </c>
      <c r="D32" s="2" t="s">
        <v>28</v>
      </c>
      <c r="E32" s="17">
        <v>0.633</v>
      </c>
      <c r="F32" s="18" t="s">
        <v>45</v>
      </c>
      <c r="G32" s="12">
        <v>52760.0</v>
      </c>
      <c r="H32" s="12">
        <v>374350.0</v>
      </c>
      <c r="I32" s="1">
        <v>81.9</v>
      </c>
      <c r="J32" s="1">
        <v>17.5</v>
      </c>
      <c r="K32" s="1">
        <v>170.0</v>
      </c>
      <c r="L32" s="1">
        <v>5.45</v>
      </c>
      <c r="M32" s="1">
        <v>254164.0</v>
      </c>
      <c r="N32" s="1">
        <v>5.9</v>
      </c>
      <c r="O32" s="1">
        <v>4.1</v>
      </c>
      <c r="P32" s="1">
        <v>110.73</v>
      </c>
      <c r="Q32" s="1">
        <v>25.8</v>
      </c>
      <c r="R32" s="1">
        <v>4.1</v>
      </c>
      <c r="S32" s="1">
        <v>39.1</v>
      </c>
      <c r="T32" s="1">
        <v>2.8</v>
      </c>
      <c r="U32" s="1">
        <v>5.2</v>
      </c>
      <c r="V32" s="12"/>
      <c r="W32" s="12"/>
      <c r="X32" s="13"/>
      <c r="Y32" s="14"/>
      <c r="Z32" s="15"/>
      <c r="AA32" s="14"/>
      <c r="AB32" s="16"/>
    </row>
    <row r="33">
      <c r="A33" s="1" t="s">
        <v>80</v>
      </c>
      <c r="B33" s="1">
        <v>336892.0</v>
      </c>
      <c r="C33" s="1">
        <v>1202.1</v>
      </c>
      <c r="D33" s="2" t="s">
        <v>25</v>
      </c>
      <c r="E33" s="17">
        <v>0.689</v>
      </c>
      <c r="F33" s="18" t="s">
        <v>81</v>
      </c>
      <c r="G33" s="12">
        <v>59070.0</v>
      </c>
      <c r="H33" s="12">
        <v>467671.0</v>
      </c>
      <c r="I33" s="1">
        <v>90.7</v>
      </c>
      <c r="J33" s="1">
        <v>53.5</v>
      </c>
      <c r="K33" s="1">
        <v>770.0</v>
      </c>
      <c r="L33" s="1">
        <v>11.89</v>
      </c>
      <c r="M33" s="1">
        <v>16166.0</v>
      </c>
      <c r="N33" s="1">
        <v>7.3</v>
      </c>
      <c r="O33" s="1">
        <v>4.0</v>
      </c>
      <c r="P33" s="1">
        <v>83.29</v>
      </c>
      <c r="Q33" s="1">
        <v>22.8</v>
      </c>
      <c r="R33" s="1">
        <v>7.5</v>
      </c>
      <c r="S33" s="1">
        <v>32.2</v>
      </c>
      <c r="T33" s="1">
        <v>2.6</v>
      </c>
      <c r="U33" s="1">
        <v>6.8</v>
      </c>
      <c r="V33" s="12"/>
      <c r="W33" s="12"/>
      <c r="X33" s="13"/>
      <c r="Y33" s="14"/>
      <c r="Z33" s="15"/>
      <c r="AA33" s="14"/>
      <c r="AB33" s="16"/>
    </row>
    <row r="34">
      <c r="A34" s="1" t="s">
        <v>82</v>
      </c>
      <c r="B34" s="1">
        <v>48832.0</v>
      </c>
      <c r="C34" s="1">
        <v>96.1</v>
      </c>
      <c r="D34" s="2" t="s">
        <v>22</v>
      </c>
      <c r="E34" s="17">
        <v>0.559</v>
      </c>
      <c r="F34" s="18" t="s">
        <v>83</v>
      </c>
      <c r="G34" s="12">
        <v>43507.0</v>
      </c>
      <c r="H34" s="12">
        <v>187500.0</v>
      </c>
      <c r="I34" s="1">
        <v>84.4</v>
      </c>
      <c r="J34" s="1">
        <v>16.7</v>
      </c>
      <c r="K34" s="1">
        <v>140.0</v>
      </c>
      <c r="L34" s="1">
        <v>1.31</v>
      </c>
      <c r="M34" s="1">
        <v>145050.0</v>
      </c>
      <c r="N34" s="1">
        <v>6.7</v>
      </c>
      <c r="O34" s="1">
        <v>6.1</v>
      </c>
      <c r="P34" s="1">
        <v>101.03</v>
      </c>
      <c r="Q34" s="1">
        <v>22.5</v>
      </c>
      <c r="R34" s="1">
        <v>2.8</v>
      </c>
      <c r="S34" s="1">
        <v>40.2</v>
      </c>
      <c r="T34" s="1">
        <v>2.3</v>
      </c>
      <c r="U34" s="1">
        <v>4.7</v>
      </c>
      <c r="V34" s="12"/>
      <c r="W34" s="12"/>
      <c r="X34" s="13"/>
      <c r="Y34" s="14"/>
      <c r="Z34" s="15"/>
      <c r="AA34" s="14"/>
      <c r="AB34" s="16"/>
    </row>
    <row r="35">
      <c r="A35" s="1" t="s">
        <v>84</v>
      </c>
      <c r="B35" s="1">
        <v>392921.0</v>
      </c>
      <c r="C35" s="1">
        <v>976.9</v>
      </c>
      <c r="D35" s="2" t="s">
        <v>25</v>
      </c>
      <c r="E35" s="17">
        <v>0.622</v>
      </c>
      <c r="F35" s="18" t="s">
        <v>60</v>
      </c>
      <c r="G35" s="12">
        <v>57781.0</v>
      </c>
      <c r="H35" s="12">
        <v>349316.0</v>
      </c>
      <c r="I35" s="1">
        <v>89.9</v>
      </c>
      <c r="J35" s="1">
        <v>36.9</v>
      </c>
      <c r="K35" s="1">
        <v>1100.0</v>
      </c>
      <c r="L35" s="1">
        <v>4.55</v>
      </c>
      <c r="M35" s="1">
        <v>32956.0</v>
      </c>
      <c r="N35" s="1">
        <v>8.1</v>
      </c>
      <c r="O35" s="1">
        <v>4.2</v>
      </c>
      <c r="P35" s="1">
        <v>59.26</v>
      </c>
      <c r="Q35" s="1">
        <v>21.7</v>
      </c>
      <c r="R35" s="1">
        <v>6.3</v>
      </c>
      <c r="S35" s="1">
        <v>31.6</v>
      </c>
      <c r="T35" s="1">
        <v>3.0</v>
      </c>
      <c r="U35" s="1">
        <v>5.7</v>
      </c>
      <c r="V35" s="12"/>
      <c r="W35" s="12"/>
      <c r="X35" s="13"/>
      <c r="Y35" s="14"/>
      <c r="Z35" s="15"/>
      <c r="AA35" s="14"/>
      <c r="AB35" s="16"/>
    </row>
    <row r="36">
      <c r="A36" s="1" t="s">
        <v>85</v>
      </c>
      <c r="B36" s="1">
        <v>77001.0</v>
      </c>
      <c r="C36" s="1">
        <v>168.8</v>
      </c>
      <c r="D36" s="2" t="s">
        <v>31</v>
      </c>
      <c r="E36" s="17">
        <v>0.555</v>
      </c>
      <c r="F36" s="18" t="s">
        <v>86</v>
      </c>
      <c r="G36" s="12">
        <v>46330.0</v>
      </c>
      <c r="H36" s="12">
        <v>426675.0</v>
      </c>
      <c r="I36" s="1">
        <v>87.7</v>
      </c>
      <c r="J36" s="1">
        <v>24.4</v>
      </c>
      <c r="K36" s="1">
        <v>562.0</v>
      </c>
      <c r="L36" s="1">
        <v>2.82</v>
      </c>
      <c r="M36" s="1">
        <v>107923.0</v>
      </c>
      <c r="N36" s="1">
        <v>7.3</v>
      </c>
      <c r="O36" s="1">
        <v>3.7</v>
      </c>
      <c r="P36" s="1">
        <v>98.58</v>
      </c>
      <c r="Q36" s="1">
        <v>32.8</v>
      </c>
      <c r="R36" s="1">
        <v>2.8</v>
      </c>
      <c r="S36" s="1">
        <v>38.3</v>
      </c>
      <c r="T36" s="1">
        <v>2.2</v>
      </c>
      <c r="U36" s="1">
        <v>5.2</v>
      </c>
      <c r="V36" s="12"/>
      <c r="W36" s="12"/>
      <c r="X36" s="13"/>
      <c r="Y36" s="14"/>
      <c r="Z36" s="15"/>
      <c r="AA36" s="14"/>
      <c r="AB36" s="16"/>
    </row>
    <row r="37">
      <c r="A37" s="1" t="s">
        <v>87</v>
      </c>
      <c r="B37" s="1">
        <v>237242.0</v>
      </c>
      <c r="C37" s="1">
        <v>694.6</v>
      </c>
      <c r="D37" s="2" t="s">
        <v>31</v>
      </c>
      <c r="E37" s="17">
        <v>0.506</v>
      </c>
      <c r="F37" s="18" t="s">
        <v>45</v>
      </c>
      <c r="G37" s="12">
        <v>49674.0</v>
      </c>
      <c r="H37" s="12">
        <v>340000.0</v>
      </c>
      <c r="I37" s="1">
        <v>88.1</v>
      </c>
      <c r="J37" s="1">
        <v>26.0</v>
      </c>
      <c r="K37" s="1">
        <v>1680.0</v>
      </c>
      <c r="L37" s="1">
        <v>8.07</v>
      </c>
      <c r="M37" s="1">
        <v>36859.0</v>
      </c>
      <c r="N37" s="1">
        <v>8.4</v>
      </c>
      <c r="O37" s="1">
        <v>4.1</v>
      </c>
      <c r="P37" s="1">
        <v>72.56</v>
      </c>
      <c r="Q37" s="1">
        <v>26.0</v>
      </c>
      <c r="R37" s="1">
        <v>5.8</v>
      </c>
      <c r="S37" s="1">
        <v>36.7</v>
      </c>
      <c r="T37" s="1">
        <v>3.4</v>
      </c>
      <c r="U37" s="1">
        <v>5.9</v>
      </c>
      <c r="V37" s="12"/>
      <c r="W37" s="12"/>
      <c r="X37" s="13"/>
      <c r="Y37" s="14"/>
      <c r="Z37" s="15"/>
      <c r="AA37" s="14"/>
      <c r="AB37" s="16"/>
    </row>
    <row r="38">
      <c r="A38" s="1" t="s">
        <v>88</v>
      </c>
      <c r="B38" s="1">
        <v>10343.0</v>
      </c>
      <c r="C38" s="1">
        <v>30.2</v>
      </c>
      <c r="D38" s="2" t="s">
        <v>31</v>
      </c>
      <c r="E38" s="17">
        <v>0.505</v>
      </c>
      <c r="F38" s="18" t="s">
        <v>43</v>
      </c>
      <c r="G38" s="12">
        <v>49850.0</v>
      </c>
      <c r="H38" s="12">
        <v>302425.0</v>
      </c>
      <c r="I38" s="1">
        <v>89.6</v>
      </c>
      <c r="J38" s="1">
        <v>10.8</v>
      </c>
      <c r="K38" s="1">
        <v>85.0</v>
      </c>
      <c r="L38" s="1">
        <v>5.24</v>
      </c>
      <c r="M38" s="1">
        <v>71866.0</v>
      </c>
      <c r="N38" s="1">
        <v>6.1</v>
      </c>
      <c r="O38" s="1">
        <v>4.0</v>
      </c>
      <c r="P38" s="1">
        <v>126.14</v>
      </c>
      <c r="Q38" s="1">
        <v>37.1</v>
      </c>
      <c r="R38" s="1">
        <v>5.3</v>
      </c>
      <c r="S38" s="1">
        <v>37.6</v>
      </c>
      <c r="T38" s="1">
        <v>2.6</v>
      </c>
      <c r="U38" s="1">
        <v>5.4</v>
      </c>
      <c r="V38" s="12"/>
      <c r="W38" s="12"/>
      <c r="X38" s="13"/>
      <c r="Y38" s="14"/>
      <c r="Z38" s="15"/>
      <c r="AA38" s="14"/>
      <c r="AB38" s="16"/>
    </row>
    <row r="39">
      <c r="A39" s="1" t="s">
        <v>89</v>
      </c>
      <c r="B39" s="1">
        <v>8052.0</v>
      </c>
      <c r="C39" s="1">
        <v>27.5</v>
      </c>
      <c r="D39" s="2" t="s">
        <v>28</v>
      </c>
      <c r="E39" s="17">
        <v>0.258</v>
      </c>
      <c r="F39" s="18" t="s">
        <v>90</v>
      </c>
      <c r="G39" s="12">
        <v>41336.0</v>
      </c>
      <c r="H39" s="12">
        <v>538500.0</v>
      </c>
      <c r="I39" s="1">
        <v>84.8</v>
      </c>
      <c r="J39" s="1">
        <v>16.8</v>
      </c>
      <c r="K39" s="1">
        <v>5559.0</v>
      </c>
      <c r="L39" s="1">
        <v>9.59</v>
      </c>
      <c r="M39" s="1">
        <v>2256.0</v>
      </c>
      <c r="N39" s="1">
        <v>5.9</v>
      </c>
      <c r="O39" s="1">
        <v>3.4</v>
      </c>
      <c r="P39" s="1">
        <v>126.01</v>
      </c>
      <c r="Q39" s="1">
        <v>29.7</v>
      </c>
      <c r="R39" s="1">
        <v>3.6</v>
      </c>
      <c r="S39" s="1">
        <v>33.7</v>
      </c>
      <c r="T39" s="1">
        <v>5.3</v>
      </c>
      <c r="U39" s="1">
        <v>8.3</v>
      </c>
      <c r="V39" s="12"/>
      <c r="W39" s="12"/>
      <c r="X39" s="13"/>
      <c r="Y39" s="14"/>
      <c r="Z39" s="15"/>
      <c r="AA39" s="14"/>
      <c r="AB39" s="16"/>
    </row>
    <row r="40">
      <c r="A40" s="1" t="s">
        <v>91</v>
      </c>
      <c r="B40" s="1">
        <v>62192.0</v>
      </c>
      <c r="C40" s="1">
        <v>118.0</v>
      </c>
      <c r="D40" s="2" t="s">
        <v>28</v>
      </c>
      <c r="E40" s="17">
        <v>0.595</v>
      </c>
      <c r="F40" s="18" t="s">
        <v>23</v>
      </c>
      <c r="G40" s="12">
        <v>46906.0</v>
      </c>
      <c r="H40" s="12">
        <v>364950.0</v>
      </c>
      <c r="I40" s="1">
        <v>86.6</v>
      </c>
      <c r="J40" s="1">
        <v>24.0</v>
      </c>
      <c r="K40" s="1">
        <v>740.0</v>
      </c>
      <c r="L40" s="1">
        <v>4.93</v>
      </c>
      <c r="M40" s="1">
        <v>102115.0</v>
      </c>
      <c r="N40" s="1">
        <v>7.3</v>
      </c>
      <c r="O40" s="1">
        <v>4.0</v>
      </c>
      <c r="P40" s="1">
        <v>106.57</v>
      </c>
      <c r="Q40" s="1">
        <v>28.5</v>
      </c>
      <c r="R40" s="1">
        <v>3.8</v>
      </c>
      <c r="S40" s="1">
        <v>37.9</v>
      </c>
      <c r="T40" s="1">
        <v>2.5</v>
      </c>
      <c r="U40" s="1">
        <v>4.2</v>
      </c>
      <c r="V40" s="12"/>
      <c r="W40" s="12"/>
      <c r="X40" s="13"/>
      <c r="Y40" s="14"/>
      <c r="Z40" s="15"/>
      <c r="AA40" s="14"/>
      <c r="AB40" s="16"/>
    </row>
    <row r="41">
      <c r="A41" s="1" t="s">
        <v>92</v>
      </c>
      <c r="B41" s="1">
        <v>20530.0</v>
      </c>
      <c r="C41" s="1">
        <v>75.5</v>
      </c>
      <c r="D41" s="2" t="s">
        <v>28</v>
      </c>
      <c r="E41" s="17">
        <v>0.632</v>
      </c>
      <c r="F41" s="18" t="s">
        <v>93</v>
      </c>
      <c r="G41" s="12">
        <v>38963.0</v>
      </c>
      <c r="H41" s="12">
        <v>230674.0</v>
      </c>
      <c r="I41" s="1">
        <v>77.8</v>
      </c>
      <c r="J41" s="1">
        <v>12.2</v>
      </c>
      <c r="K41" s="1">
        <v>138.0</v>
      </c>
      <c r="L41" s="1">
        <v>0.47</v>
      </c>
      <c r="M41" s="1">
        <v>97668.0</v>
      </c>
      <c r="N41" s="1">
        <v>6.4</v>
      </c>
      <c r="O41" s="1">
        <v>3.6</v>
      </c>
      <c r="P41" s="1">
        <v>116.02</v>
      </c>
      <c r="Q41" s="1">
        <v>26.5</v>
      </c>
      <c r="R41" s="1">
        <v>3.8</v>
      </c>
      <c r="S41" s="1">
        <v>41.1</v>
      </c>
      <c r="T41" s="1">
        <v>2.5</v>
      </c>
      <c r="U41" s="1">
        <v>2.2</v>
      </c>
      <c r="V41" s="12"/>
      <c r="W41" s="12"/>
      <c r="X41" s="13"/>
      <c r="Y41" s="14"/>
      <c r="Z41" s="15"/>
      <c r="AA41" s="14"/>
      <c r="AB41" s="16"/>
    </row>
    <row r="42">
      <c r="A42" s="19" t="s">
        <v>94</v>
      </c>
      <c r="B42" s="19">
        <f>549866-250000</f>
        <v>299866</v>
      </c>
      <c r="C42" s="1">
        <v>868.2</v>
      </c>
      <c r="D42" s="2" t="s">
        <v>25</v>
      </c>
      <c r="E42" s="17">
        <v>0.654</v>
      </c>
      <c r="F42" s="18" t="s">
        <v>47</v>
      </c>
      <c r="G42" s="12">
        <v>55008.0</v>
      </c>
      <c r="H42" s="12">
        <v>350564.0</v>
      </c>
      <c r="I42" s="1">
        <v>90.3</v>
      </c>
      <c r="J42" s="1">
        <v>38.1</v>
      </c>
      <c r="K42" s="1">
        <v>1000.0</v>
      </c>
      <c r="L42" s="1">
        <v>11.92</v>
      </c>
      <c r="M42" s="1">
        <v>94798.0</v>
      </c>
      <c r="N42" s="1">
        <v>6.4</v>
      </c>
      <c r="O42" s="1">
        <v>4.7</v>
      </c>
      <c r="P42" s="1">
        <v>51.79</v>
      </c>
      <c r="Q42" s="1">
        <v>21.6</v>
      </c>
      <c r="R42" s="1">
        <v>7.9</v>
      </c>
      <c r="S42" s="1">
        <v>32.7</v>
      </c>
      <c r="T42" s="1">
        <v>2.7</v>
      </c>
      <c r="U42" s="1">
        <v>5.6</v>
      </c>
      <c r="V42" s="12"/>
      <c r="W42" s="12"/>
      <c r="X42" s="13"/>
      <c r="Y42" s="14"/>
      <c r="Z42" s="15"/>
      <c r="AA42" s="14"/>
      <c r="AB42" s="16"/>
    </row>
    <row r="43">
      <c r="A43" s="19" t="s">
        <v>95</v>
      </c>
      <c r="B43" s="19">
        <f>549866-B42</f>
        <v>250000</v>
      </c>
      <c r="C43" s="1">
        <v>868.2</v>
      </c>
      <c r="D43" s="2" t="s">
        <v>25</v>
      </c>
      <c r="E43" s="17">
        <v>0.654</v>
      </c>
      <c r="F43" s="18" t="s">
        <v>47</v>
      </c>
      <c r="G43" s="12">
        <v>55008.0</v>
      </c>
      <c r="H43" s="12">
        <v>350564.0</v>
      </c>
      <c r="I43" s="1">
        <v>90.3</v>
      </c>
      <c r="J43" s="1">
        <v>38.1</v>
      </c>
      <c r="K43" s="1">
        <v>1000.0</v>
      </c>
      <c r="L43" s="1">
        <v>11.92</v>
      </c>
      <c r="M43" s="1">
        <v>94798.0</v>
      </c>
      <c r="N43" s="1">
        <v>6.4</v>
      </c>
      <c r="O43" s="1">
        <v>4.7</v>
      </c>
      <c r="P43" s="1">
        <v>51.79</v>
      </c>
      <c r="Q43" s="1">
        <v>21.6</v>
      </c>
      <c r="R43" s="1">
        <v>7.9</v>
      </c>
      <c r="S43" s="1">
        <v>32.7</v>
      </c>
      <c r="T43" s="1">
        <v>2.7</v>
      </c>
      <c r="U43" s="1">
        <v>5.6</v>
      </c>
      <c r="V43" s="12"/>
      <c r="W43" s="12"/>
      <c r="X43" s="13"/>
      <c r="Y43" s="14"/>
      <c r="Z43" s="15"/>
      <c r="AA43" s="14"/>
      <c r="AB43" s="16"/>
    </row>
    <row r="44">
      <c r="A44" s="1" t="s">
        <v>96</v>
      </c>
      <c r="B44" s="1">
        <v>47298.0</v>
      </c>
      <c r="C44" s="1">
        <v>63.3</v>
      </c>
      <c r="D44" s="2" t="s">
        <v>38</v>
      </c>
      <c r="E44" s="17">
        <v>0.585</v>
      </c>
      <c r="F44" s="18" t="s">
        <v>97</v>
      </c>
      <c r="G44" s="12">
        <v>44768.0</v>
      </c>
      <c r="H44" s="12">
        <v>195925.0</v>
      </c>
      <c r="I44" s="1">
        <v>80.9</v>
      </c>
      <c r="J44" s="1">
        <v>15.5</v>
      </c>
      <c r="K44" s="1">
        <v>390.0</v>
      </c>
      <c r="L44" s="1">
        <v>7.09</v>
      </c>
      <c r="M44" s="1">
        <v>183565.0</v>
      </c>
      <c r="N44" s="1">
        <v>6.7</v>
      </c>
      <c r="O44" s="1">
        <v>6.1</v>
      </c>
      <c r="P44" s="1">
        <v>89.99</v>
      </c>
      <c r="Q44" s="1">
        <v>24.6</v>
      </c>
      <c r="R44" s="1">
        <v>6.3</v>
      </c>
      <c r="S44" s="1">
        <v>41.2</v>
      </c>
      <c r="T44" s="1">
        <v>2.7</v>
      </c>
      <c r="U44" s="1">
        <v>4.4</v>
      </c>
      <c r="V44" s="12"/>
      <c r="W44" s="12"/>
      <c r="X44" s="13"/>
      <c r="Y44" s="14"/>
      <c r="Z44" s="15"/>
      <c r="AA44" s="14"/>
      <c r="AB44" s="16"/>
    </row>
    <row r="45">
      <c r="A45" s="1" t="s">
        <v>98</v>
      </c>
      <c r="B45" s="1">
        <v>141477.0</v>
      </c>
      <c r="C45" s="1">
        <v>248.7</v>
      </c>
      <c r="D45" s="2" t="s">
        <v>38</v>
      </c>
      <c r="E45" s="17">
        <v>0.597</v>
      </c>
      <c r="F45" s="18" t="s">
        <v>99</v>
      </c>
      <c r="G45" s="12">
        <v>60943.0</v>
      </c>
      <c r="H45" s="12">
        <v>562500.0</v>
      </c>
      <c r="I45" s="1">
        <v>88.7</v>
      </c>
      <c r="J45" s="1">
        <v>23.9</v>
      </c>
      <c r="K45" s="1">
        <v>495.0</v>
      </c>
      <c r="L45" s="1">
        <v>6.32</v>
      </c>
      <c r="M45" s="1">
        <v>109179.0</v>
      </c>
      <c r="N45" s="1">
        <v>7.5</v>
      </c>
      <c r="O45" s="1">
        <v>4.4</v>
      </c>
      <c r="P45" s="1">
        <v>77.5</v>
      </c>
      <c r="Q45" s="1">
        <v>29.7</v>
      </c>
      <c r="R45" s="1">
        <v>3.8</v>
      </c>
      <c r="S45" s="1">
        <v>39.5</v>
      </c>
      <c r="T45" s="1">
        <v>3.4</v>
      </c>
      <c r="U45" s="1">
        <v>5.2</v>
      </c>
      <c r="V45" s="12"/>
      <c r="W45" s="12"/>
      <c r="X45" s="13"/>
      <c r="Y45" s="14"/>
      <c r="Z45" s="15"/>
      <c r="AA45" s="14"/>
      <c r="AB45" s="16"/>
    </row>
    <row r="46">
      <c r="A46" s="1" t="s">
        <v>100</v>
      </c>
      <c r="B46" s="1">
        <v>62969.0</v>
      </c>
      <c r="C46" s="1">
        <v>117.1</v>
      </c>
      <c r="D46" s="2" t="s">
        <v>38</v>
      </c>
      <c r="E46" s="17">
        <v>0.192</v>
      </c>
      <c r="F46" s="18" t="s">
        <v>45</v>
      </c>
      <c r="G46" s="12">
        <v>44192.0</v>
      </c>
      <c r="H46" s="12">
        <v>345000.0</v>
      </c>
      <c r="I46" s="1">
        <v>91.6</v>
      </c>
      <c r="J46" s="1">
        <v>29.4</v>
      </c>
      <c r="K46" s="1">
        <v>6624.0</v>
      </c>
      <c r="L46" s="1">
        <v>0.93</v>
      </c>
      <c r="M46" s="1">
        <v>49288.0</v>
      </c>
      <c r="N46" s="1">
        <v>5.8</v>
      </c>
      <c r="O46" s="1">
        <v>3.8</v>
      </c>
      <c r="P46" s="1">
        <v>88.6</v>
      </c>
      <c r="Q46" s="1">
        <v>23.1</v>
      </c>
      <c r="R46" s="1">
        <v>6.1</v>
      </c>
      <c r="S46" s="1">
        <v>31.7</v>
      </c>
      <c r="T46" s="1">
        <v>3.2</v>
      </c>
      <c r="U46" s="1">
        <v>8.2</v>
      </c>
      <c r="V46" s="12"/>
      <c r="W46" s="12"/>
      <c r="X46" s="13"/>
      <c r="Y46" s="14"/>
      <c r="Z46" s="15"/>
      <c r="AA46" s="14"/>
      <c r="AB46" s="16"/>
    </row>
    <row r="47">
      <c r="A47" s="1" t="s">
        <v>101</v>
      </c>
      <c r="B47" s="1">
        <v>119230.0</v>
      </c>
      <c r="C47" s="1">
        <v>331.2</v>
      </c>
      <c r="D47" s="2" t="s">
        <v>25</v>
      </c>
      <c r="E47" s="17">
        <v>0.359</v>
      </c>
      <c r="F47" s="18" t="s">
        <v>93</v>
      </c>
      <c r="G47" s="12">
        <v>50894.0</v>
      </c>
      <c r="H47" s="12">
        <v>539950.0</v>
      </c>
      <c r="I47" s="1">
        <v>91.1</v>
      </c>
      <c r="J47" s="1">
        <v>35.1</v>
      </c>
      <c r="K47" s="1">
        <v>5280.0</v>
      </c>
      <c r="L47" s="1">
        <v>2.16</v>
      </c>
      <c r="M47" s="1">
        <v>32743.0</v>
      </c>
      <c r="N47" s="1">
        <v>6.3</v>
      </c>
      <c r="O47" s="1">
        <v>3.4</v>
      </c>
      <c r="P47" s="1">
        <v>73.0</v>
      </c>
      <c r="Q47" s="1">
        <v>21.2</v>
      </c>
      <c r="R47" s="1">
        <v>4.1</v>
      </c>
      <c r="S47" s="1">
        <v>33.6</v>
      </c>
      <c r="T47" s="1">
        <v>2.8</v>
      </c>
      <c r="U47" s="1">
        <v>5.5</v>
      </c>
      <c r="V47" s="12"/>
      <c r="W47" s="12"/>
      <c r="X47" s="13"/>
      <c r="Y47" s="14"/>
      <c r="Z47" s="15"/>
      <c r="AA47" s="14"/>
      <c r="AB47" s="16"/>
    </row>
    <row r="48">
      <c r="A48" s="1" t="s">
        <v>102</v>
      </c>
      <c r="B48" s="1">
        <v>19453.0</v>
      </c>
      <c r="C48" s="1">
        <v>51.9</v>
      </c>
      <c r="D48" s="2" t="s">
        <v>28</v>
      </c>
      <c r="E48" s="17">
        <v>0.575</v>
      </c>
      <c r="F48" s="18" t="s">
        <v>103</v>
      </c>
      <c r="G48" s="12">
        <v>55243.0</v>
      </c>
      <c r="H48" s="12">
        <v>524745.0</v>
      </c>
      <c r="I48" s="1">
        <v>84.7</v>
      </c>
      <c r="J48" s="1">
        <v>16.7</v>
      </c>
      <c r="K48" s="1">
        <v>95.0</v>
      </c>
      <c r="L48" s="1">
        <v>7.29</v>
      </c>
      <c r="M48" s="1">
        <v>67209.0</v>
      </c>
      <c r="N48" s="1">
        <v>6.2</v>
      </c>
      <c r="O48" s="1">
        <v>4.7</v>
      </c>
      <c r="P48" s="1">
        <v>105.89</v>
      </c>
      <c r="Q48" s="1">
        <v>26.1</v>
      </c>
      <c r="R48" s="1">
        <v>2.9</v>
      </c>
      <c r="S48" s="1">
        <v>42.5</v>
      </c>
      <c r="T48" s="1">
        <v>2.2</v>
      </c>
      <c r="U48" s="1">
        <v>4.1</v>
      </c>
      <c r="V48" s="12"/>
      <c r="W48" s="12"/>
      <c r="X48" s="13"/>
      <c r="Y48" s="14"/>
      <c r="Z48" s="15"/>
      <c r="AA48" s="14"/>
      <c r="AB48" s="16"/>
    </row>
    <row r="49">
      <c r="A49" s="1" t="s">
        <v>104</v>
      </c>
      <c r="B49" s="1">
        <v>54446.0</v>
      </c>
      <c r="C49" s="1">
        <v>144.3</v>
      </c>
      <c r="D49" s="2" t="s">
        <v>25</v>
      </c>
      <c r="E49" s="17">
        <v>0.727</v>
      </c>
      <c r="F49" s="18" t="s">
        <v>105</v>
      </c>
      <c r="G49" s="12">
        <v>41529.0</v>
      </c>
      <c r="H49" s="12">
        <v>149625.0</v>
      </c>
      <c r="I49" s="1">
        <v>88.9</v>
      </c>
      <c r="J49" s="1">
        <v>21.3</v>
      </c>
      <c r="K49" s="1">
        <v>550.0</v>
      </c>
      <c r="L49" s="1">
        <v>1.55</v>
      </c>
      <c r="M49" s="1">
        <v>36788.0</v>
      </c>
      <c r="N49" s="1">
        <v>7.3</v>
      </c>
      <c r="O49" s="1">
        <v>4.9</v>
      </c>
      <c r="P49" s="1">
        <v>104.03</v>
      </c>
      <c r="Q49" s="1">
        <v>27.5</v>
      </c>
      <c r="R49" s="1">
        <v>2.6</v>
      </c>
      <c r="S49" s="1">
        <v>35.9</v>
      </c>
      <c r="T49" s="1">
        <v>1.7</v>
      </c>
      <c r="U49" s="1">
        <v>4.9</v>
      </c>
      <c r="V49" s="12"/>
      <c r="W49" s="12"/>
      <c r="X49" s="13"/>
      <c r="Y49" s="14"/>
      <c r="Z49" s="15"/>
      <c r="AA49" s="14"/>
      <c r="AB49" s="16"/>
    </row>
    <row r="50">
      <c r="A50" s="1" t="s">
        <v>106</v>
      </c>
      <c r="B50" s="1">
        <v>4607.0</v>
      </c>
      <c r="C50" s="1">
        <v>7.5</v>
      </c>
      <c r="D50" s="2" t="s">
        <v>28</v>
      </c>
      <c r="E50" s="17">
        <v>0.523</v>
      </c>
      <c r="F50" s="18" t="s">
        <v>43</v>
      </c>
      <c r="G50" s="12">
        <v>41181.0</v>
      </c>
      <c r="H50" s="12">
        <v>327419.0</v>
      </c>
      <c r="I50" s="1">
        <v>86.8</v>
      </c>
      <c r="J50" s="1">
        <v>13.7</v>
      </c>
      <c r="K50" s="1">
        <v>44.0</v>
      </c>
      <c r="L50" s="1">
        <v>811.33</v>
      </c>
      <c r="M50" s="1">
        <v>112445.0</v>
      </c>
      <c r="N50" s="1">
        <v>5.5</v>
      </c>
      <c r="O50" s="1">
        <v>4.5</v>
      </c>
      <c r="P50" s="1">
        <v>143.27</v>
      </c>
      <c r="Q50" s="1">
        <v>21.1</v>
      </c>
      <c r="R50" s="1">
        <v>1.9</v>
      </c>
      <c r="S50" s="1">
        <v>39.5</v>
      </c>
      <c r="T50" s="1">
        <v>0.8</v>
      </c>
      <c r="U50" s="1">
        <v>3.4</v>
      </c>
      <c r="V50" s="12"/>
      <c r="W50" s="12"/>
      <c r="X50" s="13"/>
      <c r="Y50" s="14"/>
      <c r="Z50" s="15"/>
      <c r="AA50" s="14"/>
      <c r="AB50" s="16"/>
    </row>
    <row r="51">
      <c r="A51" s="1" t="s">
        <v>107</v>
      </c>
      <c r="B51" s="1">
        <v>199710.0</v>
      </c>
      <c r="C51" s="1">
        <v>365.5</v>
      </c>
      <c r="D51" s="2" t="s">
        <v>31</v>
      </c>
      <c r="E51" s="17">
        <v>0.444</v>
      </c>
      <c r="F51" s="18" t="s">
        <v>71</v>
      </c>
      <c r="G51" s="12">
        <v>48593.0</v>
      </c>
      <c r="H51" s="12">
        <v>553000.0</v>
      </c>
      <c r="I51" s="1">
        <v>91.2</v>
      </c>
      <c r="J51" s="1">
        <v>33.3</v>
      </c>
      <c r="K51" s="1">
        <v>1754.0</v>
      </c>
      <c r="L51" s="1">
        <v>23.07</v>
      </c>
      <c r="M51" s="1">
        <v>119481.0</v>
      </c>
      <c r="N51" s="1">
        <v>8.6</v>
      </c>
      <c r="O51" s="1">
        <v>3.7</v>
      </c>
      <c r="P51" s="1">
        <v>68.83</v>
      </c>
      <c r="Q51" s="1">
        <v>25.8</v>
      </c>
      <c r="R51" s="1">
        <v>5.5</v>
      </c>
      <c r="S51" s="1">
        <v>34.0</v>
      </c>
      <c r="T51" s="1">
        <v>3.1</v>
      </c>
      <c r="U51" s="1">
        <v>6.3</v>
      </c>
      <c r="V51" s="12"/>
      <c r="W51" s="12"/>
      <c r="X51" s="13"/>
      <c r="Y51" s="14"/>
      <c r="Z51" s="15"/>
      <c r="AA51" s="14"/>
      <c r="AB51" s="16"/>
    </row>
    <row r="52">
      <c r="A52" s="1" t="s">
        <v>108</v>
      </c>
      <c r="B52" s="1">
        <v>44574.0</v>
      </c>
      <c r="C52" s="1">
        <v>91.7</v>
      </c>
      <c r="D52" s="2" t="s">
        <v>28</v>
      </c>
      <c r="E52" s="17">
        <v>0.405</v>
      </c>
      <c r="F52" s="18" t="s">
        <v>23</v>
      </c>
      <c r="G52" s="12">
        <v>64437.0</v>
      </c>
      <c r="H52" s="12">
        <v>427500.0</v>
      </c>
      <c r="I52" s="1">
        <v>89.8</v>
      </c>
      <c r="J52" s="1">
        <v>30.0</v>
      </c>
      <c r="K52" s="1">
        <v>6412.0</v>
      </c>
      <c r="L52" s="1">
        <v>3.79</v>
      </c>
      <c r="M52" s="1">
        <v>22208.0</v>
      </c>
      <c r="N52" s="1">
        <v>6.3</v>
      </c>
      <c r="O52" s="1">
        <v>3.8</v>
      </c>
      <c r="P52" s="1">
        <v>91.47</v>
      </c>
      <c r="Q52" s="1">
        <v>19.9</v>
      </c>
      <c r="R52" s="1">
        <v>5.1</v>
      </c>
      <c r="S52" s="1">
        <v>30.6</v>
      </c>
      <c r="T52" s="1">
        <v>2.1</v>
      </c>
      <c r="U52" s="1">
        <v>6.6</v>
      </c>
      <c r="V52" s="12"/>
      <c r="W52" s="12"/>
      <c r="X52" s="13"/>
      <c r="Y52" s="14"/>
      <c r="Z52" s="15"/>
      <c r="AA52" s="14"/>
      <c r="AB52" s="16"/>
    </row>
    <row r="53">
      <c r="A53" s="1" t="s">
        <v>109</v>
      </c>
      <c r="B53" s="1">
        <v>241955.0</v>
      </c>
      <c r="C53" s="1">
        <v>323.4</v>
      </c>
      <c r="D53" s="2" t="s">
        <v>31</v>
      </c>
      <c r="E53" s="17">
        <v>0.55</v>
      </c>
      <c r="F53" s="18" t="s">
        <v>56</v>
      </c>
      <c r="G53" s="12">
        <v>44870.0</v>
      </c>
      <c r="H53" s="12">
        <v>849500.0</v>
      </c>
      <c r="I53" s="1">
        <v>89.5</v>
      </c>
      <c r="J53" s="1">
        <v>27.6</v>
      </c>
      <c r="K53" s="1">
        <v>373.0</v>
      </c>
      <c r="L53" s="1">
        <v>4.21</v>
      </c>
      <c r="M53" s="1">
        <v>174111.0</v>
      </c>
      <c r="N53" s="1">
        <v>6.6</v>
      </c>
      <c r="O53" s="1">
        <v>3.4</v>
      </c>
      <c r="P53" s="1">
        <v>79.02</v>
      </c>
      <c r="Q53" s="1">
        <v>30.4</v>
      </c>
      <c r="R53" s="1">
        <v>3.4</v>
      </c>
      <c r="S53" s="1">
        <v>36.8</v>
      </c>
      <c r="T53" s="1">
        <v>3.2</v>
      </c>
      <c r="U53" s="1">
        <v>5.4</v>
      </c>
      <c r="V53" s="12"/>
      <c r="W53" s="12"/>
      <c r="X53" s="13"/>
      <c r="Y53" s="14"/>
      <c r="Z53" s="15"/>
      <c r="AA53" s="14"/>
      <c r="AB53" s="16"/>
    </row>
    <row r="54">
      <c r="A54" s="1" t="s">
        <v>110</v>
      </c>
      <c r="B54" s="1">
        <v>9401.0</v>
      </c>
      <c r="C54" s="1">
        <v>19.7</v>
      </c>
      <c r="D54" s="2" t="s">
        <v>38</v>
      </c>
      <c r="E54" s="17">
        <v>0.521</v>
      </c>
      <c r="F54" s="18" t="s">
        <v>99</v>
      </c>
      <c r="G54" s="12">
        <v>49672.0</v>
      </c>
      <c r="H54" s="12">
        <v>370925.0</v>
      </c>
      <c r="I54" s="1">
        <v>86.5</v>
      </c>
      <c r="J54" s="1">
        <v>17.9</v>
      </c>
      <c r="K54" s="1">
        <v>125.0</v>
      </c>
      <c r="L54" s="1">
        <v>2.51</v>
      </c>
      <c r="M54" s="1">
        <v>66287.0</v>
      </c>
      <c r="N54" s="1">
        <v>5.7</v>
      </c>
      <c r="O54" s="1">
        <v>4.4</v>
      </c>
      <c r="P54" s="1">
        <v>120.6</v>
      </c>
      <c r="Q54" s="1">
        <v>27.8</v>
      </c>
      <c r="R54" s="1">
        <v>3.2</v>
      </c>
      <c r="S54" s="1">
        <v>38.4</v>
      </c>
      <c r="T54" s="1">
        <v>102.7</v>
      </c>
      <c r="U54" s="1">
        <v>3.5</v>
      </c>
      <c r="V54" s="12"/>
      <c r="W54" s="12"/>
      <c r="X54" s="13"/>
      <c r="Y54" s="14"/>
      <c r="Z54" s="15"/>
      <c r="AA54" s="14"/>
      <c r="AB54" s="16"/>
    </row>
    <row r="55">
      <c r="A55" s="1" t="s">
        <v>111</v>
      </c>
      <c r="B55" s="1">
        <v>67059.0</v>
      </c>
      <c r="C55" s="1">
        <v>274.5</v>
      </c>
      <c r="D55" s="2" t="s">
        <v>38</v>
      </c>
      <c r="E55" s="17">
        <v>0.602</v>
      </c>
      <c r="F55" s="18" t="s">
        <v>93</v>
      </c>
      <c r="G55" s="12">
        <v>48585.0</v>
      </c>
      <c r="H55" s="12">
        <v>268200.0</v>
      </c>
      <c r="I55" s="1">
        <v>85.1</v>
      </c>
      <c r="J55" s="1">
        <v>21.6</v>
      </c>
      <c r="K55" s="1">
        <v>540.0</v>
      </c>
      <c r="L55" s="1">
        <v>4.08</v>
      </c>
      <c r="M55" s="1">
        <v>31204.0</v>
      </c>
      <c r="N55" s="1">
        <v>7.3</v>
      </c>
      <c r="O55" s="1">
        <v>3.9</v>
      </c>
      <c r="P55" s="1">
        <v>91.08</v>
      </c>
      <c r="Q55" s="1">
        <v>24.8</v>
      </c>
      <c r="R55" s="1">
        <v>5.1</v>
      </c>
      <c r="S55" s="1">
        <v>38.5</v>
      </c>
      <c r="T55" s="1">
        <v>3.4</v>
      </c>
      <c r="U55" s="1">
        <v>7.9</v>
      </c>
      <c r="V55" s="12"/>
      <c r="W55" s="12"/>
      <c r="X55" s="13"/>
      <c r="Y55" s="14"/>
      <c r="Z55" s="15"/>
      <c r="AA55" s="14"/>
      <c r="AB55" s="16"/>
    </row>
    <row r="56">
      <c r="A56" s="1" t="s">
        <v>112</v>
      </c>
      <c r="B56" s="1">
        <v>54895.0</v>
      </c>
      <c r="C56" s="1">
        <v>135.3</v>
      </c>
      <c r="D56" s="2" t="s">
        <v>38</v>
      </c>
      <c r="E56" s="17">
        <v>0.601</v>
      </c>
      <c r="F56" s="18" t="s">
        <v>113</v>
      </c>
      <c r="G56" s="12">
        <v>49622.0</v>
      </c>
      <c r="H56" s="12">
        <v>359950.0</v>
      </c>
      <c r="I56" s="1">
        <v>82.5</v>
      </c>
      <c r="J56" s="1">
        <v>15.8</v>
      </c>
      <c r="K56" s="1">
        <v>164.0</v>
      </c>
      <c r="L56" s="1">
        <v>2.23</v>
      </c>
      <c r="M56" s="1">
        <v>136277.0</v>
      </c>
      <c r="N56" s="1">
        <v>6.2</v>
      </c>
      <c r="O56" s="1">
        <v>4.3</v>
      </c>
      <c r="P56" s="1">
        <v>94.96</v>
      </c>
      <c r="Q56" s="1">
        <v>22.0</v>
      </c>
      <c r="R56" s="1">
        <v>5.0</v>
      </c>
      <c r="S56" s="1">
        <v>40.1</v>
      </c>
      <c r="T56" s="1">
        <v>3.0</v>
      </c>
      <c r="U56" s="1">
        <v>4.3</v>
      </c>
      <c r="V56" s="12"/>
      <c r="W56" s="12"/>
      <c r="X56" s="13"/>
      <c r="Y56" s="14"/>
      <c r="Z56" s="15"/>
      <c r="AA56" s="14"/>
      <c r="AB56" s="16"/>
    </row>
    <row r="57">
      <c r="A57" s="1" t="s">
        <v>114</v>
      </c>
      <c r="B57" s="1">
        <v>95675.0</v>
      </c>
      <c r="C57" s="1">
        <v>335.8</v>
      </c>
      <c r="D57" s="2" t="s">
        <v>31</v>
      </c>
      <c r="E57" s="17">
        <v>0.309</v>
      </c>
      <c r="F57" s="18" t="s">
        <v>34</v>
      </c>
      <c r="G57" s="12">
        <v>51039.0</v>
      </c>
      <c r="H57" s="12">
        <v>238675.0</v>
      </c>
      <c r="I57" s="1">
        <v>90.0</v>
      </c>
      <c r="J57" s="1">
        <v>27.0</v>
      </c>
      <c r="K57" s="1">
        <v>1480.0</v>
      </c>
      <c r="L57" s="1">
        <v>9.1</v>
      </c>
      <c r="M57" s="1">
        <v>49038.0</v>
      </c>
      <c r="N57" s="1">
        <v>8.4</v>
      </c>
      <c r="O57" s="1">
        <v>3.6</v>
      </c>
      <c r="P57" s="1">
        <v>84.32</v>
      </c>
      <c r="Q57" s="1">
        <v>29.7</v>
      </c>
      <c r="R57" s="1">
        <v>3.0</v>
      </c>
      <c r="S57" s="1">
        <v>33.5</v>
      </c>
      <c r="T57" s="1">
        <v>2.5</v>
      </c>
      <c r="U57" s="1">
        <v>5.9</v>
      </c>
      <c r="V57" s="12"/>
      <c r="W57" s="12"/>
      <c r="X57" s="13"/>
      <c r="Y57" s="14"/>
      <c r="Z57" s="15"/>
      <c r="AA57" s="14"/>
      <c r="AB57" s="16"/>
    </row>
    <row r="58">
      <c r="A58" s="1" t="s">
        <v>115</v>
      </c>
      <c r="B58" s="1">
        <v>38412.0</v>
      </c>
      <c r="C58" s="1">
        <v>75.4</v>
      </c>
      <c r="D58" s="2" t="s">
        <v>28</v>
      </c>
      <c r="E58" s="17">
        <v>0.264</v>
      </c>
      <c r="F58" s="18" t="s">
        <v>58</v>
      </c>
      <c r="G58" s="12">
        <v>58227.0</v>
      </c>
      <c r="H58" s="12">
        <v>480923.0</v>
      </c>
      <c r="I58" s="1">
        <v>90.0</v>
      </c>
      <c r="J58" s="1">
        <v>24.6</v>
      </c>
      <c r="K58" s="1">
        <v>5499.0</v>
      </c>
      <c r="L58" s="1">
        <v>4.13</v>
      </c>
      <c r="M58" s="1">
        <v>21973.0</v>
      </c>
      <c r="N58" s="1">
        <v>6.2</v>
      </c>
      <c r="O58" s="1">
        <v>3.7</v>
      </c>
      <c r="P58" s="1">
        <v>91.06</v>
      </c>
      <c r="Q58" s="1">
        <v>21.3</v>
      </c>
      <c r="R58" s="1">
        <v>6.9</v>
      </c>
      <c r="S58" s="1">
        <v>31.0</v>
      </c>
      <c r="T58" s="1">
        <v>3.4</v>
      </c>
      <c r="U58" s="1">
        <v>9.0</v>
      </c>
      <c r="V58" s="12"/>
      <c r="W58" s="12"/>
      <c r="X58" s="13"/>
      <c r="Y58" s="14"/>
      <c r="Z58" s="15"/>
      <c r="AA58" s="14"/>
      <c r="AB58" s="16"/>
    </row>
    <row r="59">
      <c r="A59" s="1" t="s">
        <v>116</v>
      </c>
      <c r="B59" s="1">
        <v>22071.0</v>
      </c>
      <c r="C59" s="1">
        <v>48.8</v>
      </c>
      <c r="D59" s="2" t="s">
        <v>25</v>
      </c>
      <c r="E59" s="17">
        <v>0.174</v>
      </c>
      <c r="F59" s="18" t="s">
        <v>99</v>
      </c>
      <c r="G59" s="12">
        <v>48309.0</v>
      </c>
      <c r="H59" s="12">
        <v>762000.0</v>
      </c>
      <c r="I59" s="1">
        <v>90.9</v>
      </c>
      <c r="J59" s="1">
        <v>31.5</v>
      </c>
      <c r="K59" s="1">
        <v>5163.0</v>
      </c>
      <c r="L59" s="1">
        <v>1.87</v>
      </c>
      <c r="M59" s="1">
        <v>42763.0</v>
      </c>
      <c r="N59" s="1">
        <v>5.8</v>
      </c>
      <c r="O59" s="1">
        <v>4.2</v>
      </c>
      <c r="P59" s="1">
        <v>108.16</v>
      </c>
      <c r="Q59" s="1">
        <v>28.6</v>
      </c>
      <c r="R59" s="1">
        <v>2.5</v>
      </c>
      <c r="S59" s="1">
        <v>31.8</v>
      </c>
      <c r="T59" s="1">
        <v>2.0</v>
      </c>
      <c r="U59" s="1">
        <v>6.2</v>
      </c>
      <c r="V59" s="12"/>
      <c r="W59" s="12"/>
      <c r="X59" s="13"/>
      <c r="Y59" s="14"/>
      <c r="Z59" s="15"/>
      <c r="AA59" s="14"/>
      <c r="AB59" s="16"/>
    </row>
    <row r="60">
      <c r="A60" s="1" t="s">
        <v>117</v>
      </c>
      <c r="B60" s="1">
        <v>21447.0</v>
      </c>
      <c r="C60" s="1">
        <v>45.6</v>
      </c>
      <c r="D60" s="2" t="s">
        <v>28</v>
      </c>
      <c r="E60" s="17">
        <v>0.562</v>
      </c>
      <c r="F60" s="18" t="s">
        <v>23</v>
      </c>
      <c r="G60" s="12">
        <v>44497.0</v>
      </c>
      <c r="H60" s="12">
        <v>463445.0</v>
      </c>
      <c r="I60" s="1">
        <v>83.3</v>
      </c>
      <c r="J60" s="1">
        <v>15.1</v>
      </c>
      <c r="K60" s="1">
        <v>92.0</v>
      </c>
      <c r="L60" s="1">
        <v>0.29</v>
      </c>
      <c r="M60" s="1">
        <v>143806.0</v>
      </c>
      <c r="N60" s="1">
        <v>6.1</v>
      </c>
      <c r="O60" s="1">
        <v>4.3</v>
      </c>
      <c r="P60" s="1">
        <v>102.79</v>
      </c>
      <c r="Q60" s="1">
        <v>24.7</v>
      </c>
      <c r="R60" s="1">
        <v>2.3</v>
      </c>
      <c r="S60" s="1">
        <v>38.5</v>
      </c>
      <c r="T60" s="1">
        <v>2.7</v>
      </c>
      <c r="U60" s="1">
        <v>4.9</v>
      </c>
      <c r="V60" s="12"/>
      <c r="W60" s="12"/>
      <c r="X60" s="13"/>
      <c r="Y60" s="14"/>
      <c r="Z60" s="15"/>
      <c r="AA60" s="14"/>
      <c r="AB60" s="16"/>
    </row>
    <row r="61">
      <c r="A61" s="1" t="s">
        <v>118</v>
      </c>
      <c r="B61" s="1">
        <v>44893.0</v>
      </c>
      <c r="C61" s="1">
        <v>101.7</v>
      </c>
      <c r="D61" s="2" t="s">
        <v>38</v>
      </c>
      <c r="E61" s="17">
        <v>0.274</v>
      </c>
      <c r="F61" s="18" t="s">
        <v>66</v>
      </c>
      <c r="G61" s="12">
        <v>42553.0</v>
      </c>
      <c r="H61" s="12">
        <v>167375.0</v>
      </c>
      <c r="I61" s="1">
        <v>86.1</v>
      </c>
      <c r="J61" s="1">
        <v>17.6</v>
      </c>
      <c r="K61" s="1">
        <v>5662.0</v>
      </c>
      <c r="L61" s="1">
        <v>5.39</v>
      </c>
      <c r="M61" s="1">
        <v>17041.0</v>
      </c>
      <c r="N61" s="1">
        <v>6.2</v>
      </c>
      <c r="O61" s="1">
        <v>4.4</v>
      </c>
      <c r="P61" s="1">
        <v>105.06</v>
      </c>
      <c r="Q61" s="1">
        <v>23.6</v>
      </c>
      <c r="R61" s="1">
        <v>5.9</v>
      </c>
      <c r="S61" s="1">
        <v>33.5</v>
      </c>
      <c r="T61" s="1">
        <v>3.7</v>
      </c>
      <c r="U61" s="1">
        <v>6.6</v>
      </c>
      <c r="V61" s="12"/>
      <c r="W61" s="12"/>
      <c r="X61" s="13"/>
      <c r="Y61" s="14"/>
      <c r="Z61" s="15"/>
      <c r="AA61" s="14"/>
      <c r="AB61" s="16"/>
    </row>
    <row r="62">
      <c r="A62" s="19" t="s">
        <v>119</v>
      </c>
      <c r="B62" s="19">
        <v>600000.0</v>
      </c>
      <c r="C62" s="1">
        <v>2288.9</v>
      </c>
      <c r="D62" s="2" t="s">
        <v>120</v>
      </c>
      <c r="E62" s="17">
        <v>0.687</v>
      </c>
      <c r="F62" s="18" t="s">
        <v>121</v>
      </c>
      <c r="G62" s="12">
        <v>43983.0</v>
      </c>
      <c r="H62" s="12">
        <v>423850.0</v>
      </c>
      <c r="I62" s="1">
        <v>90.8</v>
      </c>
      <c r="J62" s="1">
        <v>48.6</v>
      </c>
      <c r="K62" s="1">
        <v>890.0</v>
      </c>
      <c r="L62" s="1">
        <v>22.07</v>
      </c>
      <c r="M62" s="1">
        <v>7704.0</v>
      </c>
      <c r="N62" s="1">
        <v>8.4</v>
      </c>
      <c r="O62" s="1">
        <v>4.1</v>
      </c>
      <c r="P62" s="1">
        <v>54.89</v>
      </c>
      <c r="Q62" s="1">
        <v>26.2</v>
      </c>
      <c r="R62" s="1">
        <v>8.2</v>
      </c>
      <c r="S62" s="1">
        <v>34.2</v>
      </c>
      <c r="T62" s="1">
        <v>3.2</v>
      </c>
      <c r="U62" s="1">
        <v>6.1</v>
      </c>
      <c r="V62" s="12"/>
      <c r="W62" s="12"/>
      <c r="X62" s="13"/>
      <c r="Y62" s="14"/>
      <c r="Z62" s="15"/>
      <c r="AA62" s="14"/>
      <c r="AB62" s="16"/>
    </row>
    <row r="63">
      <c r="A63" s="19" t="s">
        <v>122</v>
      </c>
      <c r="B63" s="19">
        <v>560000.0</v>
      </c>
      <c r="C63" s="1">
        <v>2288.9</v>
      </c>
      <c r="D63" s="2" t="s">
        <v>120</v>
      </c>
      <c r="E63" s="17">
        <v>0.687</v>
      </c>
      <c r="F63" s="18" t="s">
        <v>121</v>
      </c>
      <c r="G63" s="12">
        <v>43983.0</v>
      </c>
      <c r="H63" s="12">
        <v>423850.0</v>
      </c>
      <c r="I63" s="1">
        <v>90.8</v>
      </c>
      <c r="J63" s="1">
        <v>48.6</v>
      </c>
      <c r="K63" s="1">
        <v>890.0</v>
      </c>
      <c r="L63" s="1">
        <v>22.07</v>
      </c>
      <c r="M63" s="1">
        <v>7704.0</v>
      </c>
      <c r="N63" s="1">
        <v>8.4</v>
      </c>
      <c r="O63" s="1">
        <v>4.1</v>
      </c>
      <c r="P63" s="1">
        <v>54.89</v>
      </c>
      <c r="Q63" s="1">
        <v>26.2</v>
      </c>
      <c r="R63" s="1">
        <v>8.2</v>
      </c>
      <c r="S63" s="1">
        <v>34.2</v>
      </c>
      <c r="T63" s="1">
        <v>3.2</v>
      </c>
      <c r="U63" s="1">
        <v>6.1</v>
      </c>
      <c r="V63" s="12"/>
      <c r="W63" s="12"/>
      <c r="X63" s="13"/>
      <c r="Y63" s="14"/>
      <c r="Z63" s="15"/>
      <c r="AA63" s="14"/>
      <c r="AB63" s="16"/>
    </row>
    <row r="64">
      <c r="A64" s="1" t="s">
        <v>123</v>
      </c>
      <c r="B64" s="1">
        <v>14999.0</v>
      </c>
      <c r="C64" s="1">
        <v>66.2</v>
      </c>
      <c r="D64" s="2" t="s">
        <v>28</v>
      </c>
      <c r="E64" s="17">
        <v>0.174</v>
      </c>
      <c r="F64" s="18" t="s">
        <v>124</v>
      </c>
      <c r="G64" s="12">
        <v>76441.0</v>
      </c>
      <c r="H64" s="12">
        <v>477000.0</v>
      </c>
      <c r="I64" s="1">
        <v>89.7</v>
      </c>
      <c r="J64" s="1">
        <v>23.1</v>
      </c>
      <c r="K64" s="1">
        <v>6283.0</v>
      </c>
      <c r="L64" s="1">
        <v>0.66</v>
      </c>
      <c r="M64" s="1">
        <v>13860.0</v>
      </c>
      <c r="N64" s="1">
        <v>5.2</v>
      </c>
      <c r="O64" s="1">
        <v>4.2</v>
      </c>
      <c r="P64" s="1">
        <v>101.73</v>
      </c>
      <c r="Q64" s="1">
        <v>24.6</v>
      </c>
      <c r="R64" s="1">
        <v>2.9</v>
      </c>
      <c r="S64" s="1">
        <v>34.2</v>
      </c>
      <c r="T64" s="1">
        <v>2.1</v>
      </c>
      <c r="U64" s="1">
        <v>6.0</v>
      </c>
      <c r="V64" s="12"/>
      <c r="W64" s="12"/>
      <c r="X64" s="13"/>
      <c r="Y64" s="14"/>
      <c r="Z64" s="15"/>
      <c r="AA64" s="14"/>
      <c r="AB64" s="16"/>
    </row>
    <row r="65">
      <c r="A65" s="1" t="s">
        <v>125</v>
      </c>
      <c r="B65" s="1">
        <v>26085.0</v>
      </c>
      <c r="C65" s="1">
        <v>53.1</v>
      </c>
      <c r="D65" s="2" t="s">
        <v>28</v>
      </c>
      <c r="E65" s="17">
        <v>0.539</v>
      </c>
      <c r="F65" s="18" t="s">
        <v>126</v>
      </c>
      <c r="G65" s="12">
        <v>43990.0</v>
      </c>
      <c r="H65" s="12">
        <v>414250.0</v>
      </c>
      <c r="I65" s="1">
        <v>84.0</v>
      </c>
      <c r="J65" s="1">
        <v>19.3</v>
      </c>
      <c r="K65" s="1">
        <v>953.0</v>
      </c>
      <c r="L65" s="1">
        <v>10.03</v>
      </c>
      <c r="M65" s="1">
        <v>34560.0</v>
      </c>
      <c r="N65" s="1">
        <v>7.6</v>
      </c>
      <c r="O65" s="1">
        <v>4.4</v>
      </c>
      <c r="P65" s="1">
        <v>112.19</v>
      </c>
      <c r="Q65" s="1">
        <v>23.5</v>
      </c>
      <c r="R65" s="1">
        <v>3.2</v>
      </c>
      <c r="S65" s="1">
        <v>37.5</v>
      </c>
      <c r="T65" s="1">
        <v>2.4</v>
      </c>
      <c r="U65" s="1">
        <v>4.6</v>
      </c>
      <c r="V65" s="12"/>
      <c r="W65" s="12"/>
      <c r="X65" s="13"/>
      <c r="Y65" s="14"/>
      <c r="Z65" s="15"/>
      <c r="AA65" s="14"/>
      <c r="AB65" s="16"/>
    </row>
    <row r="66">
      <c r="A66" s="1" t="s">
        <v>127</v>
      </c>
      <c r="B66" s="1">
        <v>106898.0</v>
      </c>
      <c r="C66" s="1">
        <v>161.4</v>
      </c>
      <c r="D66" s="2" t="s">
        <v>22</v>
      </c>
      <c r="E66" s="17">
        <v>0.41</v>
      </c>
      <c r="F66" s="18" t="s">
        <v>128</v>
      </c>
      <c r="G66" s="12">
        <v>46774.0</v>
      </c>
      <c r="H66" s="12">
        <v>387300.0</v>
      </c>
      <c r="I66" s="1">
        <v>92.7</v>
      </c>
      <c r="J66" s="1">
        <v>40.9</v>
      </c>
      <c r="K66" s="1">
        <v>730.0</v>
      </c>
      <c r="L66" s="1">
        <v>8.01</v>
      </c>
      <c r="M66" s="1">
        <v>106258.0</v>
      </c>
      <c r="N66" s="1">
        <v>7.5</v>
      </c>
      <c r="O66" s="1">
        <v>3.9</v>
      </c>
      <c r="P66" s="1">
        <v>75.86</v>
      </c>
      <c r="Q66" s="1">
        <v>24.4</v>
      </c>
      <c r="R66" s="1">
        <v>5.6</v>
      </c>
      <c r="S66" s="1">
        <v>32.1</v>
      </c>
      <c r="T66" s="1">
        <v>2.7</v>
      </c>
      <c r="U66" s="1">
        <v>5.2</v>
      </c>
      <c r="V66" s="12"/>
      <c r="W66" s="12"/>
      <c r="X66" s="13"/>
      <c r="Y66" s="14"/>
      <c r="Z66" s="15"/>
      <c r="AA66" s="14"/>
      <c r="AB66" s="16"/>
    </row>
    <row r="67">
      <c r="A67" s="1" t="s">
        <v>129</v>
      </c>
      <c r="B67" s="1">
        <v>96551.0</v>
      </c>
      <c r="C67" s="1">
        <v>183.5</v>
      </c>
      <c r="D67" s="2" t="s">
        <v>22</v>
      </c>
      <c r="E67" s="17">
        <v>0.606</v>
      </c>
      <c r="F67" s="18" t="s">
        <v>130</v>
      </c>
      <c r="G67" s="12">
        <v>62886.0</v>
      </c>
      <c r="H67" s="12">
        <v>464500.0</v>
      </c>
      <c r="I67" s="1">
        <v>86.4</v>
      </c>
      <c r="J67" s="1">
        <v>21.7</v>
      </c>
      <c r="K67" s="1">
        <v>360.0</v>
      </c>
      <c r="L67" s="1">
        <v>2.36</v>
      </c>
      <c r="M67" s="1">
        <v>133252.0</v>
      </c>
      <c r="N67" s="1">
        <v>6.9</v>
      </c>
      <c r="O67" s="1">
        <v>5.3</v>
      </c>
      <c r="P67" s="1">
        <v>74.57</v>
      </c>
      <c r="Q67" s="1">
        <v>22.2</v>
      </c>
      <c r="R67" s="1">
        <v>4.3</v>
      </c>
      <c r="S67" s="1">
        <v>42.0</v>
      </c>
      <c r="T67" s="1">
        <v>3.0</v>
      </c>
      <c r="U67" s="1">
        <v>5.3</v>
      </c>
      <c r="V67" s="12"/>
      <c r="W67" s="12"/>
      <c r="X67" s="13"/>
      <c r="Y67" s="14"/>
      <c r="Z67" s="15"/>
      <c r="AA67" s="14"/>
      <c r="AB67" s="16"/>
    </row>
    <row r="68">
      <c r="A68" s="1" t="s">
        <v>131</v>
      </c>
      <c r="B68" s="1">
        <v>238852.0</v>
      </c>
      <c r="C68" s="1">
        <v>1279.9</v>
      </c>
      <c r="D68" s="2" t="s">
        <v>25</v>
      </c>
      <c r="E68" s="17">
        <v>0.43</v>
      </c>
      <c r="F68" s="18" t="s">
        <v>132</v>
      </c>
      <c r="G68" s="12">
        <v>50715.0</v>
      </c>
      <c r="H68" s="12">
        <v>336900.0</v>
      </c>
      <c r="I68" s="1">
        <v>93.6</v>
      </c>
      <c r="J68" s="1">
        <v>44.8</v>
      </c>
      <c r="K68" s="1">
        <v>75.0</v>
      </c>
      <c r="L68" s="1">
        <v>136.67</v>
      </c>
      <c r="M68" s="1">
        <v>1898.0</v>
      </c>
      <c r="N68" s="1">
        <v>4.1</v>
      </c>
      <c r="O68" s="1">
        <v>3.7</v>
      </c>
      <c r="P68" s="1">
        <v>57.5</v>
      </c>
      <c r="Q68" s="1">
        <v>20.2</v>
      </c>
      <c r="R68" s="1">
        <v>6.8</v>
      </c>
      <c r="S68" s="1">
        <v>31.6</v>
      </c>
      <c r="T68" s="1">
        <v>3.2</v>
      </c>
      <c r="U68" s="1">
        <v>7.5</v>
      </c>
      <c r="V68" s="12"/>
      <c r="W68" s="12"/>
      <c r="X68" s="13"/>
      <c r="Y68" s="14"/>
      <c r="Z68" s="15"/>
      <c r="AA68" s="14"/>
      <c r="AB68" s="16"/>
    </row>
    <row r="69">
      <c r="A69" s="1" t="s">
        <v>133</v>
      </c>
      <c r="B69" s="1">
        <v>16715.0</v>
      </c>
      <c r="C69" s="1">
        <v>30.3</v>
      </c>
      <c r="D69" s="2" t="s">
        <v>38</v>
      </c>
      <c r="E69" s="17">
        <v>0.541</v>
      </c>
      <c r="F69" s="18" t="s">
        <v>41</v>
      </c>
      <c r="G69" s="12">
        <v>47614.0</v>
      </c>
      <c r="H69" s="12">
        <v>190500.0</v>
      </c>
      <c r="I69" s="1">
        <v>84.5</v>
      </c>
      <c r="J69" s="1">
        <v>19.0</v>
      </c>
      <c r="K69" s="1">
        <v>370.0</v>
      </c>
      <c r="L69" s="1">
        <v>14.02</v>
      </c>
      <c r="M69" s="1">
        <v>171478.0</v>
      </c>
      <c r="N69" s="1">
        <v>6.3</v>
      </c>
      <c r="O69" s="1">
        <v>5.6</v>
      </c>
      <c r="P69" s="1">
        <v>134.59</v>
      </c>
      <c r="Q69" s="1">
        <v>26.1</v>
      </c>
      <c r="R69" s="1">
        <v>2.2</v>
      </c>
      <c r="S69" s="1">
        <v>40.3</v>
      </c>
      <c r="T69" s="1">
        <v>1.2</v>
      </c>
      <c r="U69" s="1">
        <v>2.2</v>
      </c>
      <c r="V69" s="13"/>
      <c r="W69" s="13"/>
      <c r="X69" s="13"/>
      <c r="Y69" s="14"/>
      <c r="Z69" s="15"/>
      <c r="AA69" s="14"/>
      <c r="AB69" s="16"/>
    </row>
    <row r="70">
      <c r="A70" s="1" t="s">
        <v>134</v>
      </c>
      <c r="B70" s="1">
        <v>213676.0</v>
      </c>
      <c r="C70" s="1">
        <v>286.6</v>
      </c>
      <c r="D70" s="2" t="s">
        <v>22</v>
      </c>
      <c r="E70" s="17">
        <v>0.559</v>
      </c>
      <c r="F70" s="18" t="s">
        <v>71</v>
      </c>
      <c r="G70" s="12">
        <v>51585.0</v>
      </c>
      <c r="H70" s="12">
        <v>340575.0</v>
      </c>
      <c r="I70" s="1">
        <v>93.2</v>
      </c>
      <c r="J70" s="1">
        <v>26.1</v>
      </c>
      <c r="K70" s="1">
        <v>112.0</v>
      </c>
      <c r="L70" s="1">
        <v>143.17</v>
      </c>
      <c r="M70" s="1">
        <v>53032.0</v>
      </c>
      <c r="N70" s="1">
        <v>5.7</v>
      </c>
      <c r="O70" s="1">
        <v>4.2</v>
      </c>
      <c r="P70" s="1">
        <v>78.12</v>
      </c>
      <c r="Q70" s="1">
        <v>21.2</v>
      </c>
      <c r="R70" s="1">
        <v>9.4</v>
      </c>
      <c r="S70" s="1">
        <v>29.3</v>
      </c>
      <c r="T70" s="1">
        <v>5.5</v>
      </c>
      <c r="U70" s="1">
        <v>12.2</v>
      </c>
      <c r="V70" s="13"/>
      <c r="W70" s="13"/>
      <c r="X70" s="13"/>
      <c r="Y70" s="14"/>
      <c r="Z70" s="15"/>
      <c r="AA70" s="14"/>
      <c r="AB70" s="16"/>
    </row>
    <row r="71">
      <c r="A71" s="1" t="s">
        <v>135</v>
      </c>
      <c r="B71" s="1">
        <v>150626.0</v>
      </c>
      <c r="C71" s="1">
        <v>387.0</v>
      </c>
      <c r="D71" s="2" t="s">
        <v>25</v>
      </c>
      <c r="E71" s="17">
        <v>0.547</v>
      </c>
      <c r="F71" s="18" t="s">
        <v>136</v>
      </c>
      <c r="G71" s="12">
        <v>77568.0</v>
      </c>
      <c r="H71" s="12">
        <v>593250.0</v>
      </c>
      <c r="I71" s="1">
        <v>93.2</v>
      </c>
      <c r="J71" s="1">
        <v>61.8</v>
      </c>
      <c r="K71" s="1">
        <v>860.0</v>
      </c>
      <c r="L71" s="1">
        <v>3.47</v>
      </c>
      <c r="M71" s="1">
        <v>53068.0</v>
      </c>
      <c r="N71" s="1">
        <v>7.4</v>
      </c>
      <c r="O71" s="1">
        <v>3.9</v>
      </c>
      <c r="P71" s="1">
        <v>91.03</v>
      </c>
      <c r="Q71" s="1">
        <v>22.9</v>
      </c>
      <c r="R71" s="1">
        <v>5.5</v>
      </c>
      <c r="S71" s="1">
        <v>24.5</v>
      </c>
      <c r="T71" s="1">
        <v>2.1</v>
      </c>
      <c r="U71" s="1">
        <v>5.2</v>
      </c>
      <c r="V71" s="13"/>
      <c r="W71" s="13"/>
      <c r="X71" s="13"/>
      <c r="Y71" s="14"/>
      <c r="Z71" s="15"/>
      <c r="AA71" s="14"/>
      <c r="AB71" s="16"/>
    </row>
    <row r="72">
      <c r="A72" s="1" t="s">
        <v>137</v>
      </c>
      <c r="B72" s="1">
        <v>12423.0</v>
      </c>
      <c r="C72" s="1">
        <v>38.3</v>
      </c>
      <c r="D72" s="2" t="s">
        <v>38</v>
      </c>
      <c r="E72" s="17">
        <v>0.419</v>
      </c>
      <c r="F72" s="18" t="s">
        <v>39</v>
      </c>
      <c r="G72" s="12">
        <v>52301.0</v>
      </c>
      <c r="H72" s="12">
        <v>439750.0</v>
      </c>
      <c r="I72" s="1">
        <v>90.0</v>
      </c>
      <c r="J72" s="1">
        <v>25.4</v>
      </c>
      <c r="K72" s="1">
        <v>50.0</v>
      </c>
      <c r="L72" s="1">
        <v>230.21</v>
      </c>
      <c r="M72" s="1">
        <v>54675.0</v>
      </c>
      <c r="N72" s="1">
        <v>5.6</v>
      </c>
      <c r="O72" s="1">
        <v>4.2</v>
      </c>
      <c r="P72" s="1">
        <v>113.13</v>
      </c>
      <c r="Q72" s="1">
        <v>29.2</v>
      </c>
      <c r="R72" s="1">
        <v>1.4</v>
      </c>
      <c r="S72" s="1">
        <v>36.2</v>
      </c>
      <c r="T72" s="1">
        <v>5.0</v>
      </c>
      <c r="U72" s="1">
        <v>5.1</v>
      </c>
      <c r="V72" s="13"/>
      <c r="W72" s="13"/>
      <c r="X72" s="13"/>
      <c r="Y72" s="14"/>
      <c r="Z72" s="15"/>
      <c r="AA72" s="14"/>
      <c r="AB72" s="16"/>
    </row>
    <row r="73">
      <c r="A73" s="1" t="s">
        <v>138</v>
      </c>
      <c r="B73" s="1">
        <v>41444.0</v>
      </c>
      <c r="C73" s="1">
        <v>182.2</v>
      </c>
      <c r="D73" s="2" t="s">
        <v>38</v>
      </c>
      <c r="E73" s="17">
        <v>0.588</v>
      </c>
      <c r="F73" s="18" t="s">
        <v>130</v>
      </c>
      <c r="G73" s="12">
        <v>47234.0</v>
      </c>
      <c r="H73" s="12">
        <v>329950.0</v>
      </c>
      <c r="I73" s="1">
        <v>90.0</v>
      </c>
      <c r="J73" s="1">
        <v>26.9</v>
      </c>
      <c r="K73" s="1">
        <v>20.0</v>
      </c>
      <c r="L73" s="1">
        <v>62.56</v>
      </c>
      <c r="M73" s="1">
        <v>95870.0</v>
      </c>
      <c r="N73" s="1">
        <v>6.0</v>
      </c>
      <c r="O73" s="1">
        <v>4.1</v>
      </c>
      <c r="P73" s="1">
        <v>83.95</v>
      </c>
      <c r="Q73" s="1">
        <v>28.1</v>
      </c>
      <c r="R73" s="1">
        <v>6.7</v>
      </c>
      <c r="S73" s="1">
        <v>35.3</v>
      </c>
      <c r="T73" s="1">
        <v>3.5</v>
      </c>
      <c r="U73" s="1">
        <v>6.1</v>
      </c>
      <c r="V73" s="13"/>
      <c r="W73" s="13"/>
      <c r="X73" s="13"/>
      <c r="Y73" s="14"/>
      <c r="Z73" s="15"/>
      <c r="AA73" s="14"/>
      <c r="AB73" s="16"/>
    </row>
    <row r="74">
      <c r="A74" s="1" t="s">
        <v>139</v>
      </c>
      <c r="B74" s="1">
        <v>68521.0</v>
      </c>
      <c r="C74" s="1">
        <v>80.6</v>
      </c>
      <c r="D74" s="2" t="s">
        <v>25</v>
      </c>
      <c r="E74" s="17">
        <v>0.431</v>
      </c>
      <c r="F74" s="18" t="s">
        <v>71</v>
      </c>
      <c r="G74" s="12">
        <v>49887.0</v>
      </c>
      <c r="H74" s="12">
        <v>536337.0</v>
      </c>
      <c r="I74" s="1">
        <v>90.5</v>
      </c>
      <c r="J74" s="1">
        <v>29.8</v>
      </c>
      <c r="K74" s="1">
        <v>115.0</v>
      </c>
      <c r="L74" s="1">
        <v>62.99</v>
      </c>
      <c r="M74" s="1">
        <v>78903.0</v>
      </c>
      <c r="N74" s="1">
        <v>5.7</v>
      </c>
      <c r="O74" s="1">
        <v>3.3</v>
      </c>
      <c r="P74" s="1">
        <v>87.61</v>
      </c>
      <c r="Q74" s="1">
        <v>28.3</v>
      </c>
      <c r="R74" s="1">
        <v>3.3</v>
      </c>
      <c r="S74" s="1">
        <v>31.9</v>
      </c>
      <c r="T74" s="1">
        <v>1.7</v>
      </c>
      <c r="U74" s="1">
        <v>4.2</v>
      </c>
      <c r="V74" s="13"/>
      <c r="W74" s="13"/>
      <c r="X74" s="13"/>
      <c r="Y74" s="14"/>
      <c r="Z74" s="15"/>
      <c r="AA74" s="14"/>
      <c r="AB74" s="16"/>
    </row>
    <row r="75">
      <c r="A75" s="1" t="s">
        <v>140</v>
      </c>
      <c r="B75" s="1">
        <v>13377.0</v>
      </c>
      <c r="C75" s="1">
        <v>54.8</v>
      </c>
      <c r="D75" s="2" t="s">
        <v>28</v>
      </c>
      <c r="E75" s="17">
        <v>0.44</v>
      </c>
      <c r="F75" s="18" t="s">
        <v>126</v>
      </c>
      <c r="G75" s="12">
        <v>53355.0</v>
      </c>
      <c r="H75" s="12">
        <v>477000.0</v>
      </c>
      <c r="I75" s="1">
        <v>86.7</v>
      </c>
      <c r="J75" s="1">
        <v>20.4</v>
      </c>
      <c r="K75" s="1">
        <v>52.0</v>
      </c>
      <c r="L75" s="1">
        <v>81.88</v>
      </c>
      <c r="M75" s="1">
        <v>78264.0</v>
      </c>
      <c r="N75" s="1">
        <v>5.8</v>
      </c>
      <c r="O75" s="1">
        <v>4.1</v>
      </c>
      <c r="P75" s="1">
        <v>118.98</v>
      </c>
      <c r="Q75" s="1">
        <v>32.4</v>
      </c>
      <c r="R75" s="1">
        <v>3.9</v>
      </c>
      <c r="S75" s="1">
        <v>33.9</v>
      </c>
      <c r="T75" s="1">
        <v>3.0</v>
      </c>
      <c r="U75" s="1">
        <v>4.5</v>
      </c>
      <c r="V75" s="13"/>
      <c r="W75" s="13"/>
      <c r="X75" s="13"/>
      <c r="Y75" s="14"/>
      <c r="Z75" s="15"/>
      <c r="AA75" s="14"/>
      <c r="AB75" s="16"/>
    </row>
    <row r="76">
      <c r="A76" s="1" t="s">
        <v>141</v>
      </c>
      <c r="B76" s="1">
        <v>39737.0</v>
      </c>
      <c r="C76" s="1">
        <v>101.7</v>
      </c>
      <c r="D76" s="2" t="s">
        <v>25</v>
      </c>
      <c r="E76" s="17">
        <v>0.518</v>
      </c>
      <c r="F76" s="18" t="s">
        <v>99</v>
      </c>
      <c r="G76" s="12">
        <v>45304.0</v>
      </c>
      <c r="H76" s="12">
        <v>369000.0</v>
      </c>
      <c r="I76" s="1">
        <v>89.1</v>
      </c>
      <c r="J76" s="1">
        <v>19.8</v>
      </c>
      <c r="K76" s="1">
        <v>890.0</v>
      </c>
      <c r="L76" s="1">
        <v>11.76</v>
      </c>
      <c r="M76" s="1">
        <v>88571.0</v>
      </c>
      <c r="N76" s="1">
        <v>7.2</v>
      </c>
      <c r="O76" s="1">
        <v>4.2</v>
      </c>
      <c r="P76" s="1">
        <v>99.18</v>
      </c>
      <c r="Q76" s="1">
        <v>31.7</v>
      </c>
      <c r="R76" s="1">
        <v>5.7</v>
      </c>
      <c r="S76" s="1">
        <v>40.6</v>
      </c>
      <c r="T76" s="1">
        <v>2.8</v>
      </c>
      <c r="U76" s="1">
        <v>3.7</v>
      </c>
      <c r="V76" s="13"/>
      <c r="W76" s="13"/>
      <c r="X76" s="13"/>
      <c r="Y76" s="14"/>
      <c r="Z76" s="15"/>
      <c r="AA76" s="14"/>
      <c r="AB76" s="16"/>
    </row>
    <row r="77">
      <c r="A77" s="1" t="s">
        <v>142</v>
      </c>
      <c r="B77" s="1">
        <v>175119.0</v>
      </c>
      <c r="C77" s="1">
        <v>269.9</v>
      </c>
      <c r="D77" s="2" t="s">
        <v>22</v>
      </c>
      <c r="E77" s="17">
        <v>0.609</v>
      </c>
      <c r="F77" s="18" t="s">
        <v>143</v>
      </c>
      <c r="G77" s="12">
        <v>53495.0</v>
      </c>
      <c r="H77" s="12">
        <v>294450.0</v>
      </c>
      <c r="I77" s="1">
        <v>90.9</v>
      </c>
      <c r="J77" s="1">
        <v>33.9</v>
      </c>
      <c r="K77" s="1">
        <v>128.0</v>
      </c>
      <c r="L77" s="1">
        <v>2.85</v>
      </c>
      <c r="M77" s="1">
        <v>151433.0</v>
      </c>
      <c r="N77" s="1">
        <v>5.7</v>
      </c>
      <c r="O77" s="1">
        <v>4.4</v>
      </c>
      <c r="P77" s="1">
        <v>69.08</v>
      </c>
      <c r="Q77" s="1">
        <v>20.9</v>
      </c>
      <c r="R77" s="1">
        <v>8.2</v>
      </c>
      <c r="S77" s="1">
        <v>35.4</v>
      </c>
      <c r="T77" s="1">
        <v>2.9</v>
      </c>
      <c r="U77" s="1">
        <v>5.6</v>
      </c>
      <c r="V77" s="13"/>
      <c r="W77" s="13"/>
      <c r="X77" s="13"/>
      <c r="Y77" s="14"/>
      <c r="Z77" s="15"/>
      <c r="AA77" s="14"/>
      <c r="AB77" s="16"/>
    </row>
    <row r="78">
      <c r="A78" s="1" t="s">
        <v>144</v>
      </c>
      <c r="B78" s="1">
        <v>20060.0</v>
      </c>
      <c r="C78" s="1">
        <v>83.4</v>
      </c>
      <c r="D78" s="2" t="s">
        <v>28</v>
      </c>
      <c r="E78" s="17">
        <v>0.246</v>
      </c>
      <c r="F78" s="18" t="s">
        <v>45</v>
      </c>
      <c r="G78" s="12">
        <v>61494.0</v>
      </c>
      <c r="H78" s="12">
        <v>840375.0</v>
      </c>
      <c r="I78" s="1">
        <v>91.9</v>
      </c>
      <c r="J78" s="1">
        <v>32.9</v>
      </c>
      <c r="K78" s="1">
        <v>3236.0</v>
      </c>
      <c r="L78" s="1">
        <v>0.75</v>
      </c>
      <c r="M78" s="1">
        <v>24076.0</v>
      </c>
      <c r="N78" s="1">
        <v>7.1</v>
      </c>
      <c r="O78" s="1">
        <v>3.9</v>
      </c>
      <c r="P78" s="1">
        <v>101.65</v>
      </c>
      <c r="Q78" s="1">
        <v>27.0</v>
      </c>
      <c r="R78" s="1">
        <v>2.5</v>
      </c>
      <c r="S78" s="1">
        <v>31.3</v>
      </c>
      <c r="T78" s="1">
        <v>2.4</v>
      </c>
      <c r="U78" s="1">
        <v>5.7</v>
      </c>
      <c r="V78" s="13"/>
      <c r="W78" s="13"/>
      <c r="X78" s="13"/>
      <c r="Y78" s="14"/>
      <c r="Z78" s="15"/>
      <c r="AA78" s="14"/>
      <c r="AB78" s="16"/>
    </row>
    <row r="79">
      <c r="A79" s="1" t="s">
        <v>145</v>
      </c>
      <c r="B79" s="1">
        <v>147458.0</v>
      </c>
      <c r="C79" s="1">
        <v>190.1</v>
      </c>
      <c r="D79" s="2" t="s">
        <v>25</v>
      </c>
      <c r="E79" s="17">
        <v>0.413</v>
      </c>
      <c r="F79" s="18" t="s">
        <v>124</v>
      </c>
      <c r="G79" s="12">
        <v>46748.0</v>
      </c>
      <c r="H79" s="12">
        <v>309718.0</v>
      </c>
      <c r="I79" s="1">
        <v>84.0</v>
      </c>
      <c r="J79" s="1">
        <v>17.6</v>
      </c>
      <c r="K79" s="1">
        <v>1150.0</v>
      </c>
      <c r="L79" s="1">
        <v>6.83</v>
      </c>
      <c r="M79" s="1">
        <v>131301.0</v>
      </c>
      <c r="N79" s="1">
        <v>8.1</v>
      </c>
      <c r="O79" s="1">
        <v>4.1</v>
      </c>
      <c r="P79" s="1">
        <v>86.7</v>
      </c>
      <c r="Q79" s="1">
        <v>23.8</v>
      </c>
      <c r="R79" s="1">
        <v>7.4</v>
      </c>
      <c r="S79" s="1">
        <v>32.5</v>
      </c>
      <c r="T79" s="1">
        <v>2.5</v>
      </c>
      <c r="U79" s="1">
        <v>5.1</v>
      </c>
      <c r="V79" s="13"/>
      <c r="W79" s="13"/>
      <c r="X79" s="13"/>
      <c r="Y79" s="14"/>
      <c r="Z79" s="15"/>
      <c r="AA79" s="14"/>
      <c r="AB79" s="16"/>
    </row>
    <row r="80">
      <c r="A80" s="1" t="s">
        <v>146</v>
      </c>
      <c r="B80" s="1">
        <v>42324.0</v>
      </c>
      <c r="C80" s="1">
        <v>87.4</v>
      </c>
      <c r="D80" s="2" t="s">
        <v>38</v>
      </c>
      <c r="E80" s="17">
        <v>0.602</v>
      </c>
      <c r="F80" s="18" t="s">
        <v>43</v>
      </c>
      <c r="G80" s="12">
        <v>46009.0</v>
      </c>
      <c r="H80" s="12">
        <v>232750.0</v>
      </c>
      <c r="I80" s="1">
        <v>84.2</v>
      </c>
      <c r="J80" s="1">
        <v>16.2</v>
      </c>
      <c r="K80" s="1">
        <v>629.0</v>
      </c>
      <c r="L80" s="1">
        <v>6.1</v>
      </c>
      <c r="M80" s="1">
        <v>57946.0</v>
      </c>
      <c r="N80" s="1">
        <v>7.5</v>
      </c>
      <c r="O80" s="1">
        <v>5.5</v>
      </c>
      <c r="P80" s="1">
        <v>98.87</v>
      </c>
      <c r="Q80" s="1">
        <v>22.3</v>
      </c>
      <c r="R80" s="1">
        <v>5.6</v>
      </c>
      <c r="S80" s="1">
        <v>39.2</v>
      </c>
      <c r="T80" s="1">
        <v>3.0</v>
      </c>
      <c r="U80" s="1">
        <v>5.4</v>
      </c>
      <c r="V80" s="13"/>
      <c r="W80" s="13"/>
      <c r="X80" s="13"/>
      <c r="Y80" s="14"/>
      <c r="Z80" s="15"/>
      <c r="AA80" s="14"/>
      <c r="AB80" s="16"/>
    </row>
    <row r="81">
      <c r="A81" s="1" t="s">
        <v>147</v>
      </c>
      <c r="B81" s="1">
        <v>117365.0</v>
      </c>
      <c r="C81" s="1">
        <v>122.5</v>
      </c>
      <c r="D81" s="2" t="s">
        <v>38</v>
      </c>
      <c r="E81" s="17">
        <v>0.735</v>
      </c>
      <c r="F81" s="18" t="s">
        <v>99</v>
      </c>
      <c r="G81" s="12">
        <v>41071.0</v>
      </c>
      <c r="H81" s="12">
        <v>250950.0</v>
      </c>
      <c r="I81" s="1">
        <v>78.9</v>
      </c>
      <c r="J81" s="1">
        <v>14.6</v>
      </c>
      <c r="K81" s="1">
        <v>242.0</v>
      </c>
      <c r="L81" s="1">
        <v>1.77</v>
      </c>
      <c r="M81" s="1">
        <v>263080.0</v>
      </c>
      <c r="N81" s="1">
        <v>7.2</v>
      </c>
      <c r="O81" s="1">
        <v>4.9</v>
      </c>
      <c r="P81" s="1">
        <v>80.41</v>
      </c>
      <c r="Q81" s="1">
        <v>24.2</v>
      </c>
      <c r="R81" s="1">
        <v>3.3</v>
      </c>
      <c r="S81" s="1">
        <v>41.5</v>
      </c>
      <c r="T81" s="1">
        <v>2.6</v>
      </c>
      <c r="U81" s="1">
        <v>3.8</v>
      </c>
      <c r="V81" s="13"/>
      <c r="W81" s="13"/>
      <c r="X81" s="13"/>
      <c r="Y81" s="14"/>
      <c r="Z81" s="15"/>
      <c r="AA81" s="14"/>
      <c r="AB81" s="16"/>
    </row>
    <row r="82">
      <c r="A82" s="1" t="s">
        <v>148</v>
      </c>
      <c r="B82" s="1">
        <v>92518.0</v>
      </c>
      <c r="C82" s="1">
        <v>163.4</v>
      </c>
      <c r="D82" s="2" t="s">
        <v>25</v>
      </c>
      <c r="E82" s="17">
        <v>0.464</v>
      </c>
      <c r="F82" s="18" t="s">
        <v>69</v>
      </c>
      <c r="G82" s="12">
        <v>45332.0</v>
      </c>
      <c r="H82" s="12">
        <v>222350.0</v>
      </c>
      <c r="I82" s="1">
        <v>84.4</v>
      </c>
      <c r="J82" s="1">
        <v>16.1</v>
      </c>
      <c r="K82" s="1">
        <v>1061.0</v>
      </c>
      <c r="L82" s="1">
        <v>7.15</v>
      </c>
      <c r="M82" s="1">
        <v>109295.0</v>
      </c>
      <c r="N82" s="1">
        <v>7.6</v>
      </c>
      <c r="O82" s="1">
        <v>4.6</v>
      </c>
      <c r="P82" s="1">
        <v>90.02</v>
      </c>
      <c r="Q82" s="1">
        <v>25.9</v>
      </c>
      <c r="R82" s="1">
        <v>5.8</v>
      </c>
      <c r="S82" s="1">
        <v>38.0</v>
      </c>
      <c r="T82" s="1">
        <v>13.5</v>
      </c>
      <c r="U82" s="1">
        <v>5.5</v>
      </c>
      <c r="V82" s="13"/>
      <c r="W82" s="13"/>
      <c r="X82" s="13"/>
      <c r="Y82" s="14"/>
      <c r="Z82" s="15"/>
      <c r="AA82" s="14"/>
      <c r="AB82" s="16"/>
    </row>
    <row r="83">
      <c r="A83" s="1" t="s">
        <v>149</v>
      </c>
      <c r="B83" s="1">
        <v>151661.0</v>
      </c>
      <c r="C83" s="1">
        <v>301.6</v>
      </c>
      <c r="D83" s="2" t="s">
        <v>31</v>
      </c>
      <c r="E83" s="17">
        <v>0.498</v>
      </c>
      <c r="F83" s="18" t="s">
        <v>126</v>
      </c>
      <c r="G83" s="12">
        <v>46990.0</v>
      </c>
      <c r="H83" s="12">
        <v>310000.0</v>
      </c>
      <c r="I83" s="1">
        <v>88.1</v>
      </c>
      <c r="J83" s="1">
        <v>21.5</v>
      </c>
      <c r="K83" s="1">
        <v>1092.0</v>
      </c>
      <c r="L83" s="1">
        <v>12.35</v>
      </c>
      <c r="M83" s="1">
        <v>104888.0</v>
      </c>
      <c r="N83" s="1">
        <v>7.6</v>
      </c>
      <c r="O83" s="1">
        <v>4.1</v>
      </c>
      <c r="P83" s="1">
        <v>76.96</v>
      </c>
      <c r="Q83" s="1">
        <v>24.8</v>
      </c>
      <c r="R83" s="1">
        <v>5.1</v>
      </c>
      <c r="S83" s="1">
        <v>33.7</v>
      </c>
      <c r="T83" s="1">
        <v>2.7</v>
      </c>
      <c r="U83" s="1">
        <v>5.4</v>
      </c>
      <c r="V83" s="13"/>
      <c r="W83" s="13"/>
      <c r="X83" s="13"/>
      <c r="Y83" s="14"/>
      <c r="Z83" s="15"/>
      <c r="AA83" s="14"/>
      <c r="AB83" s="16"/>
    </row>
    <row r="84">
      <c r="A84" s="1" t="s">
        <v>150</v>
      </c>
      <c r="B84" s="1">
        <v>65507.0</v>
      </c>
      <c r="C84" s="1">
        <v>115.6</v>
      </c>
      <c r="D84" s="2" t="s">
        <v>38</v>
      </c>
      <c r="E84" s="17">
        <v>0.336</v>
      </c>
      <c r="F84" s="18" t="s">
        <v>53</v>
      </c>
      <c r="G84" s="12">
        <v>42525.0</v>
      </c>
      <c r="H84" s="12">
        <v>377450.0</v>
      </c>
      <c r="I84" s="1">
        <v>86.6</v>
      </c>
      <c r="J84" s="1">
        <v>20.7</v>
      </c>
      <c r="K84" s="1">
        <v>3968.0</v>
      </c>
      <c r="L84" s="1">
        <v>1.7</v>
      </c>
      <c r="M84" s="1">
        <v>63632.0</v>
      </c>
      <c r="N84" s="1">
        <v>7.6</v>
      </c>
      <c r="O84" s="1">
        <v>4.1</v>
      </c>
      <c r="P84" s="1">
        <v>87.42</v>
      </c>
      <c r="Q84" s="1">
        <v>25.8</v>
      </c>
      <c r="R84" s="1">
        <v>6.4</v>
      </c>
      <c r="S84" s="1">
        <v>36.9</v>
      </c>
      <c r="T84" s="1">
        <v>3.6</v>
      </c>
      <c r="U84" s="1">
        <v>6.4</v>
      </c>
      <c r="V84" s="13"/>
      <c r="W84" s="13"/>
      <c r="X84" s="13"/>
      <c r="Y84" s="14"/>
      <c r="Z84" s="15"/>
      <c r="AA84" s="14"/>
      <c r="AB84" s="16"/>
    </row>
    <row r="85">
      <c r="A85" s="1" t="s">
        <v>151</v>
      </c>
      <c r="B85" s="1">
        <v>59601.0</v>
      </c>
      <c r="C85" s="1">
        <v>64.1</v>
      </c>
      <c r="D85" s="2" t="s">
        <v>28</v>
      </c>
      <c r="E85" s="17">
        <v>0.646</v>
      </c>
      <c r="F85" s="18" t="s">
        <v>45</v>
      </c>
      <c r="G85" s="12">
        <v>46849.0</v>
      </c>
      <c r="H85" s="12">
        <v>304325.0</v>
      </c>
      <c r="I85" s="1">
        <v>84.3</v>
      </c>
      <c r="J85" s="1">
        <v>15.8</v>
      </c>
      <c r="K85" s="1">
        <v>230.0</v>
      </c>
      <c r="L85" s="1">
        <v>1.86</v>
      </c>
      <c r="M85" s="1">
        <v>292205.0</v>
      </c>
      <c r="N85" s="1">
        <v>6.6</v>
      </c>
      <c r="O85" s="1">
        <v>4.1</v>
      </c>
      <c r="P85" s="1">
        <v>97.76</v>
      </c>
      <c r="Q85" s="1">
        <v>25.1</v>
      </c>
      <c r="R85" s="1">
        <v>2.1</v>
      </c>
      <c r="S85" s="1">
        <v>38.3</v>
      </c>
      <c r="T85" s="1">
        <v>2.5</v>
      </c>
      <c r="U85" s="1">
        <v>4.6</v>
      </c>
      <c r="V85" s="13"/>
      <c r="W85" s="13"/>
      <c r="X85" s="13"/>
      <c r="Y85" s="14"/>
      <c r="Z85" s="15"/>
      <c r="AA85" s="14"/>
      <c r="AB85" s="16"/>
    </row>
    <row r="86">
      <c r="A86" s="1" t="s">
        <v>152</v>
      </c>
      <c r="B86" s="1">
        <v>34376.0</v>
      </c>
      <c r="C86" s="1">
        <v>103.9</v>
      </c>
      <c r="D86" s="2" t="s">
        <v>38</v>
      </c>
      <c r="E86" s="17">
        <v>0.664</v>
      </c>
      <c r="F86" s="18" t="s">
        <v>113</v>
      </c>
      <c r="G86" s="12">
        <v>41064.0</v>
      </c>
      <c r="H86" s="12">
        <v>218650.0</v>
      </c>
      <c r="I86" s="1">
        <v>82.4</v>
      </c>
      <c r="J86" s="1">
        <v>14.8</v>
      </c>
      <c r="K86" s="1">
        <v>480.0</v>
      </c>
      <c r="L86" s="1">
        <v>1.48</v>
      </c>
      <c r="M86" s="1">
        <v>51025.0</v>
      </c>
      <c r="N86" s="1">
        <v>7.2</v>
      </c>
      <c r="O86" s="1">
        <v>5.5</v>
      </c>
      <c r="P86" s="1">
        <v>95.84</v>
      </c>
      <c r="Q86" s="1">
        <v>22.0</v>
      </c>
      <c r="R86" s="1">
        <v>4.6</v>
      </c>
      <c r="S86" s="1">
        <v>40.8</v>
      </c>
      <c r="T86" s="1">
        <v>2.5</v>
      </c>
      <c r="U86" s="1">
        <v>6.4</v>
      </c>
      <c r="V86" s="13"/>
      <c r="W86" s="13"/>
      <c r="X86" s="13"/>
      <c r="Y86" s="14"/>
      <c r="Z86" s="15"/>
      <c r="AA86" s="14"/>
      <c r="AB86" s="16"/>
    </row>
    <row r="87">
      <c r="A87" s="1" t="s">
        <v>153</v>
      </c>
      <c r="B87" s="1">
        <v>65699.0</v>
      </c>
      <c r="C87" s="1">
        <v>166.0</v>
      </c>
      <c r="D87" s="2" t="s">
        <v>38</v>
      </c>
      <c r="E87" s="17">
        <v>0.378</v>
      </c>
      <c r="F87" s="18" t="s">
        <v>29</v>
      </c>
      <c r="G87" s="12">
        <v>48212.0</v>
      </c>
      <c r="H87" s="12">
        <v>338450.0</v>
      </c>
      <c r="I87" s="1">
        <v>87.1</v>
      </c>
      <c r="J87" s="1">
        <v>19.7</v>
      </c>
      <c r="K87" s="1">
        <v>905.0</v>
      </c>
      <c r="L87" s="1">
        <v>9.75</v>
      </c>
      <c r="M87" s="1">
        <v>109164.0</v>
      </c>
      <c r="N87" s="1">
        <v>8.1</v>
      </c>
      <c r="O87" s="1">
        <v>3.4</v>
      </c>
      <c r="P87" s="1">
        <v>86.29</v>
      </c>
      <c r="Q87" s="1">
        <v>26.3</v>
      </c>
      <c r="R87" s="1">
        <v>5.7</v>
      </c>
      <c r="S87" s="1">
        <v>34.2</v>
      </c>
      <c r="T87" s="1">
        <v>3.0</v>
      </c>
      <c r="U87" s="1">
        <v>6.0</v>
      </c>
      <c r="V87" s="13"/>
      <c r="W87" s="13"/>
      <c r="X87" s="13"/>
      <c r="Y87" s="14"/>
      <c r="Z87" s="15"/>
      <c r="AA87" s="14"/>
      <c r="AB87" s="16"/>
    </row>
    <row r="88">
      <c r="A88" s="1" t="s">
        <v>154</v>
      </c>
      <c r="B88" s="1">
        <v>45532.0</v>
      </c>
      <c r="C88" s="1">
        <v>102.2</v>
      </c>
      <c r="D88" s="2" t="s">
        <v>25</v>
      </c>
      <c r="E88" s="17">
        <v>0.205</v>
      </c>
      <c r="F88" s="18" t="s">
        <v>26</v>
      </c>
      <c r="G88" s="12">
        <v>46391.0</v>
      </c>
      <c r="H88" s="12">
        <v>341250.0</v>
      </c>
      <c r="I88" s="1">
        <v>89.9</v>
      </c>
      <c r="J88" s="1">
        <v>18.5</v>
      </c>
      <c r="K88" s="1">
        <v>2580.0</v>
      </c>
      <c r="L88" s="1">
        <v>6.77</v>
      </c>
      <c r="M88" s="1">
        <v>81361.0</v>
      </c>
      <c r="N88" s="1">
        <v>7.5</v>
      </c>
      <c r="O88" s="1">
        <v>4.1</v>
      </c>
      <c r="P88" s="1">
        <v>102.43</v>
      </c>
      <c r="Q88" s="1">
        <v>29.1</v>
      </c>
      <c r="R88" s="1">
        <v>3.4</v>
      </c>
      <c r="S88" s="1">
        <v>33.3</v>
      </c>
      <c r="T88" s="1">
        <v>1.9</v>
      </c>
      <c r="U88" s="1">
        <v>4.0</v>
      </c>
      <c r="V88" s="13"/>
      <c r="W88" s="13"/>
      <c r="X88" s="13"/>
      <c r="Y88" s="14"/>
      <c r="Z88" s="15"/>
      <c r="AA88" s="14"/>
      <c r="AB88" s="16"/>
    </row>
    <row r="89">
      <c r="A89" s="1" t="s">
        <v>155</v>
      </c>
      <c r="B89" s="1">
        <v>71462.0</v>
      </c>
      <c r="C89" s="1">
        <v>134.7</v>
      </c>
      <c r="D89" s="2" t="s">
        <v>38</v>
      </c>
      <c r="E89" s="17">
        <v>0.328</v>
      </c>
      <c r="F89" s="18" t="s">
        <v>29</v>
      </c>
      <c r="G89" s="12">
        <v>48778.0</v>
      </c>
      <c r="H89" s="12">
        <v>322400.0</v>
      </c>
      <c r="I89" s="1">
        <v>82.6</v>
      </c>
      <c r="J89" s="1">
        <v>19.4</v>
      </c>
      <c r="K89" s="1">
        <v>3566.0</v>
      </c>
      <c r="L89" s="1">
        <v>4.14</v>
      </c>
      <c r="M89" s="1">
        <v>105791.0</v>
      </c>
      <c r="N89" s="1">
        <v>7.6</v>
      </c>
      <c r="O89" s="1">
        <v>3.7</v>
      </c>
      <c r="P89" s="1">
        <v>80.15</v>
      </c>
      <c r="Q89" s="1">
        <v>24.8</v>
      </c>
      <c r="R89" s="1">
        <v>5.3</v>
      </c>
      <c r="S89" s="1">
        <v>35.5</v>
      </c>
      <c r="T89" s="1">
        <v>3.5</v>
      </c>
      <c r="U89" s="1">
        <v>6.9</v>
      </c>
      <c r="V89" s="13"/>
      <c r="W89" s="13"/>
      <c r="X89" s="13"/>
      <c r="Y89" s="14"/>
      <c r="Z89" s="15"/>
      <c r="AA89" s="14"/>
      <c r="AB89" s="16"/>
    </row>
    <row r="90">
      <c r="A90" s="1" t="s">
        <v>156</v>
      </c>
      <c r="B90" s="1">
        <v>13916.0</v>
      </c>
      <c r="C90" s="1">
        <v>26.0</v>
      </c>
      <c r="D90" s="2" t="s">
        <v>28</v>
      </c>
      <c r="E90" s="17">
        <v>0.548</v>
      </c>
      <c r="F90" s="18" t="s">
        <v>56</v>
      </c>
      <c r="G90" s="12">
        <v>51517.0</v>
      </c>
      <c r="H90" s="12">
        <v>444000.0</v>
      </c>
      <c r="I90" s="1">
        <v>87.1</v>
      </c>
      <c r="J90" s="1">
        <v>21.3</v>
      </c>
      <c r="K90" s="1">
        <v>6644.0</v>
      </c>
      <c r="L90" s="1">
        <v>12.65</v>
      </c>
      <c r="M90" s="1">
        <v>3930.0</v>
      </c>
      <c r="N90" s="1">
        <v>6.1</v>
      </c>
      <c r="O90" s="1">
        <v>3.5</v>
      </c>
      <c r="P90" s="1">
        <v>137.41</v>
      </c>
      <c r="Q90" s="1">
        <v>18.1</v>
      </c>
      <c r="R90" s="1">
        <v>4.3</v>
      </c>
      <c r="S90" s="1">
        <v>36.7</v>
      </c>
      <c r="T90" s="1">
        <v>2.8</v>
      </c>
      <c r="U90" s="1">
        <v>9.1</v>
      </c>
      <c r="V90" s="13"/>
      <c r="W90" s="13"/>
      <c r="X90" s="13"/>
      <c r="Y90" s="14"/>
      <c r="Z90" s="15"/>
      <c r="AA90" s="14"/>
      <c r="AB90" s="16"/>
    </row>
    <row r="91">
      <c r="A91" s="1" t="s">
        <v>157</v>
      </c>
      <c r="B91" s="1">
        <v>33549.0</v>
      </c>
      <c r="C91" s="1">
        <v>88.8</v>
      </c>
      <c r="D91" s="2" t="s">
        <v>38</v>
      </c>
      <c r="E91" s="17">
        <v>0.246</v>
      </c>
      <c r="F91" s="18" t="s">
        <v>86</v>
      </c>
      <c r="G91" s="12">
        <v>55406.0</v>
      </c>
      <c r="H91" s="12">
        <v>692000.0</v>
      </c>
      <c r="I91" s="1">
        <v>93.8</v>
      </c>
      <c r="J91" s="1">
        <v>38.6</v>
      </c>
      <c r="K91" s="1">
        <v>6001.0</v>
      </c>
      <c r="L91" s="1">
        <v>1.98</v>
      </c>
      <c r="M91" s="1">
        <v>11537.0</v>
      </c>
      <c r="N91" s="1">
        <v>5.8</v>
      </c>
      <c r="O91" s="1">
        <v>3.7</v>
      </c>
      <c r="P91" s="1">
        <v>88.51</v>
      </c>
      <c r="Q91" s="1">
        <v>25.2</v>
      </c>
      <c r="R91" s="1">
        <v>7.1</v>
      </c>
      <c r="S91" s="1">
        <v>31.8</v>
      </c>
      <c r="T91" s="1">
        <v>2.6</v>
      </c>
      <c r="U91" s="1">
        <v>5.5</v>
      </c>
      <c r="V91" s="13"/>
      <c r="W91" s="13"/>
      <c r="X91" s="13"/>
      <c r="Y91" s="14"/>
      <c r="Z91" s="15"/>
      <c r="AA91" s="14"/>
      <c r="AB91" s="16"/>
    </row>
    <row r="92">
      <c r="A92" s="1" t="s">
        <v>158</v>
      </c>
      <c r="B92" s="1">
        <v>3461.0</v>
      </c>
      <c r="C92" s="1">
        <v>8.9</v>
      </c>
      <c r="D92" s="2" t="s">
        <v>28</v>
      </c>
      <c r="E92" s="17">
        <v>0.574</v>
      </c>
      <c r="F92" s="18" t="s">
        <v>64</v>
      </c>
      <c r="G92" s="12">
        <v>45079.0</v>
      </c>
      <c r="H92" s="12">
        <v>385000.0</v>
      </c>
      <c r="I92" s="1">
        <v>80.5</v>
      </c>
      <c r="J92" s="1">
        <v>14.7</v>
      </c>
      <c r="K92" s="1">
        <v>17.0</v>
      </c>
      <c r="L92" s="1">
        <v>205.18</v>
      </c>
      <c r="M92" s="1">
        <v>63761.0</v>
      </c>
      <c r="N92" s="1">
        <v>5.3</v>
      </c>
      <c r="O92" s="1">
        <v>4.3</v>
      </c>
      <c r="P92" s="1">
        <v>143.86</v>
      </c>
      <c r="Q92" s="1">
        <v>30.2</v>
      </c>
      <c r="R92" s="1">
        <v>1.8</v>
      </c>
      <c r="S92" s="1">
        <v>37.0</v>
      </c>
      <c r="T92" s="1">
        <v>3.5</v>
      </c>
      <c r="U92" s="1">
        <v>4.5</v>
      </c>
      <c r="V92" s="13"/>
      <c r="W92" s="13"/>
      <c r="X92" s="13"/>
      <c r="Y92" s="14"/>
      <c r="Z92" s="15"/>
      <c r="AA92" s="14"/>
      <c r="AB92" s="16"/>
    </row>
    <row r="93">
      <c r="A93" s="1" t="s">
        <v>159</v>
      </c>
      <c r="B93" s="1">
        <v>256452.0</v>
      </c>
      <c r="C93" s="1">
        <v>432.1</v>
      </c>
      <c r="D93" s="2" t="s">
        <v>31</v>
      </c>
      <c r="E93" s="17">
        <v>0.511</v>
      </c>
      <c r="F93" s="18" t="s">
        <v>99</v>
      </c>
      <c r="G93" s="12">
        <v>67641.0</v>
      </c>
      <c r="H93" s="12">
        <v>502450.0</v>
      </c>
      <c r="I93" s="1">
        <v>90.4</v>
      </c>
      <c r="J93" s="1">
        <v>39.0</v>
      </c>
      <c r="K93" s="1">
        <v>791.0</v>
      </c>
      <c r="L93" s="1">
        <v>8.01</v>
      </c>
      <c r="M93" s="1">
        <v>212066.0</v>
      </c>
      <c r="N93" s="1">
        <v>8.1</v>
      </c>
      <c r="O93" s="1">
        <v>3.6</v>
      </c>
      <c r="P93" s="1">
        <v>74.33</v>
      </c>
      <c r="Q93" s="1">
        <v>29.5</v>
      </c>
      <c r="R93" s="1">
        <v>3.7</v>
      </c>
      <c r="S93" s="1">
        <v>31.7</v>
      </c>
      <c r="T93" s="1">
        <v>1.9</v>
      </c>
      <c r="U93" s="1">
        <v>3.7</v>
      </c>
      <c r="V93" s="13"/>
      <c r="W93" s="13"/>
      <c r="X93" s="13"/>
      <c r="Y93" s="14"/>
      <c r="Z93" s="15"/>
      <c r="AA93" s="14"/>
      <c r="AB93" s="16"/>
    </row>
    <row r="94">
      <c r="A94" s="1" t="s">
        <v>160</v>
      </c>
      <c r="B94" s="1">
        <v>42301.0</v>
      </c>
      <c r="C94" s="1">
        <v>163.4</v>
      </c>
      <c r="D94" s="2" t="s">
        <v>38</v>
      </c>
      <c r="E94" s="17">
        <v>0.601</v>
      </c>
      <c r="F94" s="18" t="s">
        <v>161</v>
      </c>
      <c r="G94" s="12">
        <v>43356.0</v>
      </c>
      <c r="H94" s="12">
        <v>309312.0</v>
      </c>
      <c r="I94" s="1">
        <v>85.4</v>
      </c>
      <c r="J94" s="1">
        <v>18.5</v>
      </c>
      <c r="K94" s="1">
        <v>570.0</v>
      </c>
      <c r="L94" s="1">
        <v>16.3</v>
      </c>
      <c r="M94" s="1">
        <v>38231.0</v>
      </c>
      <c r="N94" s="1">
        <v>7.0</v>
      </c>
      <c r="O94" s="1">
        <v>4.9</v>
      </c>
      <c r="P94" s="1">
        <v>89.53</v>
      </c>
      <c r="Q94" s="1">
        <v>23.7</v>
      </c>
      <c r="R94" s="1">
        <v>3.4</v>
      </c>
      <c r="S94" s="1">
        <v>41.0</v>
      </c>
      <c r="T94" s="1">
        <v>2.0</v>
      </c>
      <c r="U94" s="1">
        <v>4.4</v>
      </c>
      <c r="V94" s="13"/>
      <c r="W94" s="13"/>
      <c r="X94" s="13"/>
      <c r="Y94" s="14"/>
      <c r="Z94" s="15"/>
      <c r="AA94" s="14"/>
      <c r="AB94" s="16"/>
    </row>
    <row r="95">
      <c r="A95" s="19" t="s">
        <v>162</v>
      </c>
      <c r="B95" s="19">
        <v>650000.0</v>
      </c>
      <c r="C95" s="1">
        <v>1484.4</v>
      </c>
      <c r="D95" s="2" t="s">
        <v>120</v>
      </c>
      <c r="E95" s="17">
        <v>0.619</v>
      </c>
      <c r="F95" s="18" t="s">
        <v>83</v>
      </c>
      <c r="G95" s="12">
        <v>76357.0</v>
      </c>
      <c r="H95" s="12">
        <v>532500.0</v>
      </c>
      <c r="I95" s="1">
        <v>94.0</v>
      </c>
      <c r="J95" s="1">
        <v>56.3</v>
      </c>
      <c r="K95" s="1">
        <v>544.0</v>
      </c>
      <c r="L95" s="1">
        <v>22.1</v>
      </c>
      <c r="M95" s="1">
        <v>62323.0</v>
      </c>
      <c r="N95" s="1">
        <v>9.0</v>
      </c>
      <c r="O95" s="1">
        <v>3.5</v>
      </c>
      <c r="P95" s="1">
        <v>46.93</v>
      </c>
      <c r="Q95" s="1">
        <v>25.1</v>
      </c>
      <c r="R95" s="1">
        <v>8.3</v>
      </c>
      <c r="S95" s="1">
        <v>25.8</v>
      </c>
      <c r="T95" s="1">
        <v>2.4</v>
      </c>
      <c r="U95" s="1">
        <v>6.0</v>
      </c>
      <c r="V95" s="13"/>
      <c r="W95" s="13"/>
      <c r="X95" s="13"/>
      <c r="Y95" s="14"/>
      <c r="Z95" s="15"/>
      <c r="AA95" s="14"/>
      <c r="AB95" s="16"/>
    </row>
    <row r="96">
      <c r="A96" s="19" t="s">
        <v>163</v>
      </c>
      <c r="B96" s="19">
        <v>540000.0</v>
      </c>
      <c r="C96" s="1">
        <v>1484.4</v>
      </c>
      <c r="D96" s="2" t="s">
        <v>120</v>
      </c>
      <c r="E96" s="17">
        <v>0.619</v>
      </c>
      <c r="F96" s="18" t="s">
        <v>83</v>
      </c>
      <c r="G96" s="12">
        <v>76357.0</v>
      </c>
      <c r="H96" s="12">
        <v>532500.0</v>
      </c>
      <c r="I96" s="1">
        <v>94.0</v>
      </c>
      <c r="J96" s="1">
        <v>56.3</v>
      </c>
      <c r="K96" s="1">
        <v>544.0</v>
      </c>
      <c r="L96" s="1">
        <v>22.1</v>
      </c>
      <c r="M96" s="1">
        <v>62323.0</v>
      </c>
      <c r="N96" s="1">
        <v>9.0</v>
      </c>
      <c r="O96" s="1">
        <v>3.5</v>
      </c>
      <c r="P96" s="1">
        <v>46.93</v>
      </c>
      <c r="Q96" s="1">
        <v>25.1</v>
      </c>
      <c r="R96" s="1">
        <v>8.3</v>
      </c>
      <c r="S96" s="1">
        <v>25.8</v>
      </c>
      <c r="T96" s="1">
        <v>2.4</v>
      </c>
      <c r="U96" s="1">
        <v>6.0</v>
      </c>
      <c r="V96" s="13"/>
      <c r="W96" s="13"/>
      <c r="X96" s="13"/>
      <c r="Y96" s="14"/>
      <c r="Z96" s="15"/>
      <c r="AA96" s="14"/>
      <c r="AB96" s="16"/>
    </row>
    <row r="97">
      <c r="A97" s="1" t="s">
        <v>164</v>
      </c>
      <c r="B97" s="1">
        <v>18836.0</v>
      </c>
      <c r="C97" s="1">
        <v>43.6</v>
      </c>
      <c r="D97" s="2" t="s">
        <v>28</v>
      </c>
      <c r="E97" s="17">
        <v>0.61</v>
      </c>
      <c r="F97" s="18" t="s">
        <v>47</v>
      </c>
      <c r="G97" s="12">
        <v>37601.0</v>
      </c>
      <c r="H97" s="12">
        <v>398750.0</v>
      </c>
      <c r="I97" s="1">
        <v>86.7</v>
      </c>
      <c r="J97" s="1">
        <v>19.0</v>
      </c>
      <c r="K97" s="1">
        <v>480.0</v>
      </c>
      <c r="L97" s="1">
        <v>15.31</v>
      </c>
      <c r="M97" s="1">
        <v>63669.0</v>
      </c>
      <c r="N97" s="1">
        <v>6.7</v>
      </c>
      <c r="O97" s="1">
        <v>5.2</v>
      </c>
      <c r="P97" s="1">
        <v>120.07</v>
      </c>
      <c r="Q97" s="1">
        <v>28.4</v>
      </c>
      <c r="R97" s="1">
        <v>3.7</v>
      </c>
      <c r="S97" s="1">
        <v>41.1</v>
      </c>
      <c r="T97" s="1">
        <v>1.6</v>
      </c>
      <c r="U97" s="1">
        <v>4.4</v>
      </c>
      <c r="V97" s="13"/>
      <c r="W97" s="13"/>
      <c r="X97" s="13"/>
      <c r="Y97" s="14"/>
      <c r="Z97" s="15"/>
      <c r="AA97" s="14"/>
      <c r="AB97" s="16"/>
    </row>
    <row r="98">
      <c r="A98" s="1" t="s">
        <v>165</v>
      </c>
      <c r="B98" s="1">
        <v>10713.0</v>
      </c>
      <c r="C98" s="1">
        <v>29.8</v>
      </c>
      <c r="D98" s="2" t="s">
        <v>28</v>
      </c>
      <c r="E98" s="17">
        <v>0.559</v>
      </c>
      <c r="F98" s="18" t="s">
        <v>105</v>
      </c>
      <c r="G98" s="12">
        <v>45405.0</v>
      </c>
      <c r="H98" s="12">
        <v>174250.0</v>
      </c>
      <c r="I98" s="1">
        <v>85.6</v>
      </c>
      <c r="J98" s="1">
        <v>12.2</v>
      </c>
      <c r="K98" s="1">
        <v>50.0</v>
      </c>
      <c r="L98" s="1">
        <v>75.71</v>
      </c>
      <c r="M98" s="1">
        <v>76554.0</v>
      </c>
      <c r="N98" s="1">
        <v>5.6</v>
      </c>
      <c r="O98" s="1">
        <v>5.2</v>
      </c>
      <c r="P98" s="1">
        <v>118.35</v>
      </c>
      <c r="Q98" s="1">
        <v>24.8</v>
      </c>
      <c r="R98" s="1">
        <v>4.2</v>
      </c>
      <c r="S98" s="1">
        <v>40.4</v>
      </c>
      <c r="T98" s="1">
        <v>2.8</v>
      </c>
      <c r="U98" s="1">
        <v>3.5</v>
      </c>
      <c r="V98" s="13"/>
      <c r="W98" s="13"/>
      <c r="X98" s="13"/>
      <c r="Y98" s="14"/>
      <c r="Z98" s="15"/>
      <c r="AA98" s="14"/>
      <c r="AB98" s="16"/>
    </row>
    <row r="99">
      <c r="A99" s="1" t="s">
        <v>166</v>
      </c>
      <c r="B99" s="1">
        <v>54748.0</v>
      </c>
      <c r="C99" s="1">
        <v>176.2</v>
      </c>
      <c r="D99" s="2" t="s">
        <v>38</v>
      </c>
      <c r="E99" s="17">
        <v>0.301</v>
      </c>
      <c r="F99" s="18" t="s">
        <v>143</v>
      </c>
      <c r="G99" s="12">
        <v>48445.0</v>
      </c>
      <c r="H99" s="12">
        <v>704000.0</v>
      </c>
      <c r="I99" s="1">
        <v>92.4</v>
      </c>
      <c r="J99" s="1">
        <v>47.7</v>
      </c>
      <c r="K99" s="1">
        <v>5946.0</v>
      </c>
      <c r="L99" s="1">
        <v>0.9</v>
      </c>
      <c r="M99" s="1">
        <v>29402.0</v>
      </c>
      <c r="N99" s="1">
        <v>6.0</v>
      </c>
      <c r="O99" s="1">
        <v>3.6</v>
      </c>
      <c r="P99" s="1">
        <v>87.53</v>
      </c>
      <c r="Q99" s="1">
        <v>20.2</v>
      </c>
      <c r="R99" s="1">
        <v>9.3</v>
      </c>
      <c r="S99" s="1">
        <v>29.8</v>
      </c>
      <c r="T99" s="1">
        <v>2.3</v>
      </c>
      <c r="U99" s="1">
        <v>6.7</v>
      </c>
      <c r="V99" s="13"/>
      <c r="W99" s="13"/>
      <c r="X99" s="13"/>
      <c r="Y99" s="14"/>
      <c r="Z99" s="15"/>
      <c r="AA99" s="14"/>
      <c r="AB99" s="16"/>
    </row>
    <row r="100">
      <c r="A100" s="1" t="s">
        <v>167</v>
      </c>
      <c r="B100" s="1">
        <v>118686.0</v>
      </c>
      <c r="C100" s="1">
        <v>215.3</v>
      </c>
      <c r="D100" s="2" t="s">
        <v>22</v>
      </c>
      <c r="E100" s="17">
        <v>0.628</v>
      </c>
      <c r="F100" s="18" t="s">
        <v>86</v>
      </c>
      <c r="G100" s="12">
        <v>49370.0</v>
      </c>
      <c r="H100" s="12">
        <v>287450.0</v>
      </c>
      <c r="I100" s="1">
        <v>86.4</v>
      </c>
      <c r="J100" s="1">
        <v>21.3</v>
      </c>
      <c r="K100" s="1">
        <v>195.0</v>
      </c>
      <c r="L100" s="1">
        <v>3.77</v>
      </c>
      <c r="M100" s="1">
        <v>149752.0</v>
      </c>
      <c r="N100" s="1">
        <v>6.8</v>
      </c>
      <c r="O100" s="1">
        <v>4.2</v>
      </c>
      <c r="P100" s="1">
        <v>76.04</v>
      </c>
      <c r="Q100" s="1">
        <v>22.0</v>
      </c>
      <c r="R100" s="1">
        <v>6.4</v>
      </c>
      <c r="S100" s="1">
        <v>38.6</v>
      </c>
      <c r="T100" s="1">
        <v>3.4</v>
      </c>
      <c r="U100" s="1">
        <v>6.5</v>
      </c>
      <c r="V100" s="13"/>
      <c r="W100" s="13"/>
      <c r="X100" s="13"/>
      <c r="Y100" s="14"/>
      <c r="Z100" s="15"/>
      <c r="AA100" s="14"/>
      <c r="AB100" s="16"/>
    </row>
    <row r="101">
      <c r="A101" s="1" t="s">
        <v>168</v>
      </c>
      <c r="B101" s="1">
        <v>66013.0</v>
      </c>
      <c r="C101" s="1">
        <v>88.3</v>
      </c>
      <c r="D101" s="2" t="s">
        <v>38</v>
      </c>
      <c r="E101" s="17">
        <v>0.264</v>
      </c>
      <c r="F101" s="18" t="s">
        <v>124</v>
      </c>
      <c r="G101" s="12">
        <v>47495.0</v>
      </c>
      <c r="H101" s="12">
        <v>350000.0</v>
      </c>
      <c r="I101" s="1">
        <v>81.9</v>
      </c>
      <c r="J101" s="1">
        <v>16.7</v>
      </c>
      <c r="K101" s="1">
        <v>4078.0</v>
      </c>
      <c r="L101" s="1">
        <v>2.64</v>
      </c>
      <c r="M101" s="1">
        <v>114778.0</v>
      </c>
      <c r="N101" s="1">
        <v>7.1</v>
      </c>
      <c r="O101" s="1">
        <v>4.4</v>
      </c>
      <c r="P101" s="1">
        <v>92.97</v>
      </c>
      <c r="Q101" s="1">
        <v>24.6</v>
      </c>
      <c r="R101" s="1">
        <v>3.5</v>
      </c>
      <c r="S101" s="1">
        <v>35.0</v>
      </c>
      <c r="T101" s="1">
        <v>3.4</v>
      </c>
      <c r="U101" s="1">
        <v>5.8</v>
      </c>
      <c r="V101" s="13"/>
      <c r="W101" s="13"/>
      <c r="X101" s="13"/>
      <c r="Y101" s="14"/>
      <c r="Z101" s="15"/>
      <c r="AA101" s="14"/>
      <c r="AB101" s="16"/>
    </row>
    <row r="102">
      <c r="A102" s="1" t="s">
        <v>169</v>
      </c>
      <c r="B102" s="1">
        <v>78970.0</v>
      </c>
      <c r="C102" s="1">
        <v>215.0</v>
      </c>
      <c r="D102" s="2" t="s">
        <v>38</v>
      </c>
      <c r="E102" s="17">
        <v>0.632</v>
      </c>
      <c r="F102" s="18" t="s">
        <v>170</v>
      </c>
      <c r="G102" s="12">
        <v>48774.0</v>
      </c>
      <c r="H102" s="12">
        <v>290124.0</v>
      </c>
      <c r="I102" s="1">
        <v>84.4</v>
      </c>
      <c r="J102" s="1">
        <v>20.3</v>
      </c>
      <c r="K102" s="1">
        <v>320.0</v>
      </c>
      <c r="L102" s="1">
        <v>5.56</v>
      </c>
      <c r="M102" s="1">
        <v>126286.0</v>
      </c>
      <c r="N102" s="1">
        <v>6.8</v>
      </c>
      <c r="O102" s="1">
        <v>5.7</v>
      </c>
      <c r="P102" s="1">
        <v>85.64</v>
      </c>
      <c r="Q102" s="1">
        <v>21.2</v>
      </c>
      <c r="R102" s="1">
        <v>5.1</v>
      </c>
      <c r="S102" s="1">
        <v>38.9</v>
      </c>
      <c r="T102" s="1">
        <v>3.8</v>
      </c>
      <c r="U102" s="1">
        <v>5.7</v>
      </c>
      <c r="V102" s="13"/>
      <c r="W102" s="13"/>
      <c r="X102" s="13"/>
      <c r="Y102" s="14"/>
      <c r="Z102" s="15"/>
      <c r="AA102" s="14"/>
      <c r="AB102" s="16"/>
    </row>
    <row r="103">
      <c r="A103" s="1" t="s">
        <v>171</v>
      </c>
      <c r="B103" s="1">
        <v>37774.0</v>
      </c>
      <c r="C103" s="1">
        <v>112.6</v>
      </c>
      <c r="D103" s="2" t="s">
        <v>25</v>
      </c>
      <c r="E103" s="17">
        <v>0.319</v>
      </c>
      <c r="F103" s="18" t="s">
        <v>90</v>
      </c>
      <c r="G103" s="12">
        <v>47455.0</v>
      </c>
      <c r="H103" s="12">
        <v>302563.0</v>
      </c>
      <c r="I103" s="1">
        <v>86.5</v>
      </c>
      <c r="J103" s="1">
        <v>15.8</v>
      </c>
      <c r="K103" s="1">
        <v>1754.0</v>
      </c>
      <c r="L103" s="1">
        <v>2.68</v>
      </c>
      <c r="M103" s="1">
        <v>98329.0</v>
      </c>
      <c r="N103" s="1">
        <v>7.9</v>
      </c>
      <c r="O103" s="1">
        <v>3.5</v>
      </c>
      <c r="P103" s="1">
        <v>108.38</v>
      </c>
      <c r="Q103" s="1">
        <v>26.5</v>
      </c>
      <c r="R103" s="1">
        <v>3.3</v>
      </c>
      <c r="S103" s="1">
        <v>36.0</v>
      </c>
      <c r="T103" s="1">
        <v>3.7</v>
      </c>
      <c r="U103" s="1">
        <v>6.1</v>
      </c>
      <c r="V103" s="13"/>
      <c r="W103" s="13"/>
      <c r="X103" s="13"/>
      <c r="Y103" s="14"/>
      <c r="Z103" s="15"/>
      <c r="AA103" s="14"/>
      <c r="AB103" s="16"/>
    </row>
    <row r="104">
      <c r="A104" s="1" t="s">
        <v>172</v>
      </c>
      <c r="B104" s="1">
        <v>18938.0</v>
      </c>
      <c r="C104" s="1">
        <v>59.5</v>
      </c>
      <c r="D104" s="2" t="s">
        <v>28</v>
      </c>
      <c r="E104" s="20">
        <v>0.186</v>
      </c>
      <c r="F104" s="18" t="s">
        <v>69</v>
      </c>
      <c r="G104" s="12">
        <v>42006.0</v>
      </c>
      <c r="H104" s="12">
        <v>524000.0</v>
      </c>
      <c r="I104" s="1">
        <v>88.1</v>
      </c>
      <c r="J104" s="1">
        <v>23.0</v>
      </c>
      <c r="K104" s="1">
        <v>6684.0</v>
      </c>
      <c r="L104" s="1">
        <v>0.56</v>
      </c>
      <c r="M104" s="1">
        <v>21341.0</v>
      </c>
      <c r="N104" s="1">
        <v>5.5</v>
      </c>
      <c r="O104" s="1">
        <v>4.0</v>
      </c>
      <c r="P104" s="1">
        <v>111.22</v>
      </c>
      <c r="Q104" s="1">
        <v>28.0</v>
      </c>
      <c r="R104" s="1">
        <v>2.9</v>
      </c>
      <c r="S104" s="1">
        <v>32.8</v>
      </c>
      <c r="T104" s="1">
        <v>4.8</v>
      </c>
      <c r="U104" s="1">
        <v>7.6</v>
      </c>
      <c r="V104" s="13"/>
      <c r="W104" s="13"/>
      <c r="X104" s="13"/>
      <c r="Y104" s="14"/>
      <c r="Z104" s="15"/>
      <c r="AA104" s="14"/>
      <c r="AB104" s="16"/>
    </row>
    <row r="105">
      <c r="A105" s="1"/>
      <c r="B105" s="1"/>
      <c r="E105" s="21"/>
      <c r="F105" s="21"/>
      <c r="G105" s="21"/>
      <c r="H105" s="21"/>
      <c r="I105" s="1"/>
      <c r="J105" s="22"/>
      <c r="K105" s="18"/>
      <c r="L105" s="18"/>
      <c r="M105" s="18"/>
      <c r="N105" s="23"/>
      <c r="O105" s="18"/>
      <c r="P105" s="18"/>
      <c r="Q105" s="18"/>
      <c r="R105" s="18"/>
      <c r="S105" s="21"/>
      <c r="T105" s="18"/>
      <c r="U105" s="18"/>
      <c r="V105" s="18"/>
      <c r="W105" s="18"/>
      <c r="X105" s="21"/>
    </row>
    <row r="106">
      <c r="A106" s="1"/>
      <c r="B106" s="1"/>
      <c r="E106" s="21"/>
      <c r="F106" s="21"/>
      <c r="G106" s="21"/>
      <c r="H106" s="21"/>
      <c r="I106" s="1"/>
      <c r="J106" s="22"/>
      <c r="K106" s="18"/>
      <c r="L106" s="18"/>
      <c r="M106" s="18"/>
      <c r="O106" s="18"/>
      <c r="P106" s="18"/>
      <c r="Q106" s="21"/>
      <c r="R106" s="21"/>
      <c r="S106" s="21"/>
      <c r="T106" s="21"/>
      <c r="U106" s="21"/>
      <c r="V106" s="21"/>
      <c r="W106" s="21"/>
      <c r="X106" s="21"/>
    </row>
    <row r="107">
      <c r="A107" s="1"/>
      <c r="B107" s="1"/>
      <c r="E107" s="21"/>
      <c r="F107" s="21"/>
      <c r="G107" s="21"/>
      <c r="H107" s="21"/>
      <c r="I107" s="1"/>
      <c r="J107" s="21"/>
      <c r="K107" s="21"/>
      <c r="L107" s="21"/>
      <c r="M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</row>
    <row r="108">
      <c r="A108" s="1"/>
      <c r="B108" s="1"/>
      <c r="E108" s="21"/>
      <c r="F108" s="21"/>
      <c r="G108" s="21"/>
      <c r="H108" s="21"/>
      <c r="I108" s="1"/>
      <c r="J108" s="21"/>
      <c r="K108" s="21"/>
      <c r="L108" s="21"/>
      <c r="M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</row>
    <row r="109">
      <c r="A109" s="1"/>
      <c r="B109" s="1"/>
      <c r="E109" s="21"/>
      <c r="F109" s="21"/>
      <c r="G109" s="21"/>
      <c r="H109" s="21"/>
      <c r="I109" s="1"/>
      <c r="J109" s="21"/>
      <c r="K109" s="21"/>
      <c r="L109" s="21"/>
      <c r="M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</row>
    <row r="110">
      <c r="E110" s="21"/>
      <c r="F110" s="21"/>
      <c r="G110" s="21"/>
      <c r="H110" s="21"/>
      <c r="I110" s="1"/>
      <c r="J110" s="21"/>
      <c r="K110" s="21"/>
      <c r="L110" s="21"/>
      <c r="M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</row>
    <row r="111">
      <c r="E111" s="21"/>
      <c r="F111" s="21"/>
      <c r="G111" s="21"/>
      <c r="H111" s="21"/>
      <c r="I111" s="1"/>
      <c r="J111" s="21"/>
      <c r="K111" s="21"/>
      <c r="L111" s="21"/>
      <c r="M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</row>
    <row r="112">
      <c r="E112" s="21"/>
      <c r="F112" s="21"/>
      <c r="G112" s="21"/>
      <c r="H112" s="21"/>
      <c r="I112" s="1"/>
      <c r="J112" s="21"/>
      <c r="K112" s="21"/>
      <c r="L112" s="21"/>
      <c r="M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</row>
    <row r="113">
      <c r="E113" s="21"/>
      <c r="F113" s="21"/>
      <c r="G113" s="21"/>
      <c r="H113" s="21"/>
      <c r="I113" s="1"/>
      <c r="J113" s="21"/>
      <c r="K113" s="21"/>
      <c r="L113" s="21"/>
      <c r="M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</row>
    <row r="114">
      <c r="E114" s="21"/>
      <c r="F114" s="21"/>
      <c r="G114" s="21"/>
      <c r="H114" s="21"/>
      <c r="I114" s="1"/>
      <c r="J114" s="21"/>
      <c r="K114" s="21"/>
      <c r="L114" s="21"/>
      <c r="M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</row>
    <row r="115">
      <c r="E115" s="21"/>
      <c r="F115" s="21"/>
      <c r="G115" s="21"/>
      <c r="H115" s="21"/>
      <c r="I115" s="1"/>
      <c r="J115" s="21"/>
      <c r="K115" s="21"/>
      <c r="L115" s="21"/>
      <c r="M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</row>
    <row r="116">
      <c r="E116" s="21"/>
      <c r="F116" s="21"/>
      <c r="G116" s="21"/>
      <c r="H116" s="21"/>
      <c r="I116" s="1"/>
      <c r="J116" s="21"/>
      <c r="K116" s="21"/>
      <c r="L116" s="21"/>
      <c r="M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</row>
    <row r="117">
      <c r="E117" s="21"/>
      <c r="F117" s="21"/>
      <c r="G117" s="21"/>
      <c r="H117" s="21"/>
      <c r="I117" s="1"/>
      <c r="J117" s="21"/>
      <c r="K117" s="21"/>
      <c r="L117" s="21"/>
      <c r="M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</row>
    <row r="118">
      <c r="E118" s="21"/>
      <c r="F118" s="21"/>
      <c r="G118" s="21"/>
      <c r="H118" s="21"/>
      <c r="I118" s="1"/>
      <c r="J118" s="21"/>
      <c r="K118" s="21"/>
      <c r="L118" s="21"/>
      <c r="M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</row>
    <row r="119">
      <c r="E119" s="21"/>
      <c r="F119" s="21"/>
      <c r="G119" s="21"/>
      <c r="H119" s="21"/>
      <c r="I119" s="1"/>
      <c r="J119" s="21"/>
      <c r="K119" s="21"/>
      <c r="L119" s="21"/>
      <c r="M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</row>
    <row r="120">
      <c r="E120" s="21"/>
      <c r="F120" s="21"/>
      <c r="G120" s="21"/>
      <c r="H120" s="21"/>
      <c r="I120" s="1"/>
      <c r="J120" s="21"/>
      <c r="K120" s="21"/>
      <c r="L120" s="21"/>
      <c r="M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</row>
    <row r="121">
      <c r="E121" s="21"/>
      <c r="F121" s="21"/>
      <c r="G121" s="21"/>
      <c r="H121" s="21"/>
      <c r="I121" s="1"/>
      <c r="J121" s="21"/>
      <c r="K121" s="21"/>
      <c r="L121" s="21"/>
      <c r="M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</row>
    <row r="122">
      <c r="E122" s="21"/>
      <c r="F122" s="21"/>
      <c r="G122" s="21"/>
      <c r="H122" s="21"/>
      <c r="I122" s="1"/>
      <c r="J122" s="21"/>
      <c r="K122" s="21"/>
      <c r="L122" s="21"/>
      <c r="M122" s="21"/>
      <c r="O122" s="21"/>
      <c r="P122" s="21"/>
      <c r="Q122" s="21"/>
      <c r="R122" s="21"/>
      <c r="S122" s="21"/>
      <c r="T122" s="21"/>
    </row>
    <row r="123">
      <c r="E123" s="21"/>
      <c r="F123" s="21"/>
      <c r="G123" s="21"/>
      <c r="H123" s="21"/>
      <c r="I123" s="1"/>
      <c r="J123" s="21"/>
      <c r="K123" s="21"/>
      <c r="L123" s="21"/>
      <c r="M123" s="21"/>
      <c r="O123" s="21"/>
      <c r="P123" s="21"/>
      <c r="Q123" s="21"/>
      <c r="R123" s="21"/>
      <c r="S123" s="21"/>
      <c r="T123" s="21"/>
    </row>
    <row r="124">
      <c r="E124" s="21"/>
      <c r="F124" s="21"/>
      <c r="G124" s="21"/>
      <c r="H124" s="21"/>
      <c r="I124" s="1"/>
      <c r="J124" s="21"/>
      <c r="K124" s="21"/>
      <c r="L124" s="21"/>
      <c r="M124" s="21"/>
      <c r="O124" s="21"/>
      <c r="P124" s="21"/>
      <c r="Q124" s="21"/>
      <c r="R124" s="21"/>
      <c r="S124" s="21"/>
      <c r="T124" s="21"/>
    </row>
    <row r="125">
      <c r="E125" s="21"/>
      <c r="F125" s="21"/>
      <c r="G125" s="21"/>
      <c r="H125" s="21"/>
      <c r="I125" s="1"/>
      <c r="J125" s="21"/>
      <c r="K125" s="21"/>
      <c r="L125" s="21"/>
      <c r="M125" s="21"/>
      <c r="O125" s="21"/>
      <c r="P125" s="21"/>
      <c r="Q125" s="21"/>
      <c r="R125" s="21"/>
      <c r="S125" s="21"/>
      <c r="T125" s="21"/>
    </row>
    <row r="126">
      <c r="E126" s="21"/>
      <c r="F126" s="21"/>
      <c r="G126" s="21"/>
      <c r="H126" s="21"/>
      <c r="I126" s="1"/>
      <c r="J126" s="21"/>
      <c r="K126" s="21"/>
      <c r="L126" s="21"/>
      <c r="M126" s="21"/>
      <c r="O126" s="21"/>
      <c r="P126" s="21"/>
      <c r="Q126" s="21"/>
      <c r="R126" s="21"/>
      <c r="S126" s="21"/>
      <c r="T126" s="21"/>
    </row>
    <row r="127">
      <c r="E127" s="21"/>
      <c r="F127" s="21"/>
      <c r="G127" s="21"/>
      <c r="H127" s="21"/>
      <c r="I127" s="1"/>
      <c r="J127" s="21"/>
      <c r="K127" s="21"/>
      <c r="L127" s="21"/>
      <c r="M127" s="21"/>
      <c r="O127" s="21"/>
      <c r="P127" s="21"/>
      <c r="Q127" s="21"/>
      <c r="R127" s="21"/>
      <c r="S127" s="21"/>
      <c r="T127" s="21"/>
    </row>
    <row r="128">
      <c r="E128" s="21"/>
      <c r="F128" s="21"/>
      <c r="G128" s="21"/>
      <c r="H128" s="21"/>
      <c r="I128" s="1"/>
      <c r="J128" s="21"/>
      <c r="K128" s="21"/>
      <c r="L128" s="21"/>
      <c r="M128" s="21"/>
      <c r="O128" s="21"/>
      <c r="P128" s="21"/>
      <c r="Q128" s="21"/>
      <c r="R128" s="21"/>
      <c r="S128" s="21"/>
      <c r="T128" s="21"/>
    </row>
    <row r="129">
      <c r="E129" s="21"/>
      <c r="F129" s="21"/>
      <c r="G129" s="21"/>
      <c r="H129" s="21"/>
      <c r="I129" s="1"/>
      <c r="J129" s="21"/>
      <c r="K129" s="21"/>
      <c r="L129" s="21"/>
      <c r="M129" s="21"/>
      <c r="O129" s="21"/>
      <c r="P129" s="21"/>
      <c r="Q129" s="21"/>
      <c r="R129" s="21"/>
      <c r="S129" s="21"/>
      <c r="T129" s="21"/>
    </row>
    <row r="130">
      <c r="F130" s="21"/>
      <c r="G130" s="21"/>
      <c r="H130" s="21"/>
      <c r="I130" s="1"/>
      <c r="J130" s="21"/>
      <c r="K130" s="21"/>
      <c r="L130" s="21"/>
      <c r="M130" s="21"/>
      <c r="O130" s="21"/>
      <c r="P130" s="21"/>
      <c r="Q130" s="21"/>
      <c r="R130" s="21"/>
      <c r="S130" s="21"/>
      <c r="T130" s="21"/>
    </row>
    <row r="131">
      <c r="G131" s="21"/>
      <c r="H131" s="21"/>
      <c r="I131" s="1"/>
      <c r="J131" s="22"/>
      <c r="K131" s="21"/>
      <c r="L131" s="21"/>
      <c r="M131" s="21"/>
      <c r="O131" s="21"/>
      <c r="R131" s="21"/>
      <c r="S131" s="21"/>
      <c r="T131" s="21"/>
    </row>
    <row r="132">
      <c r="G132" s="21"/>
      <c r="H132" s="21"/>
      <c r="I132" s="1"/>
      <c r="J132" s="22"/>
      <c r="K132" s="21"/>
      <c r="L132" s="21"/>
      <c r="M132" s="21"/>
      <c r="O132" s="21"/>
      <c r="R132" s="21"/>
      <c r="S132" s="21"/>
      <c r="T132" s="21"/>
    </row>
    <row r="133">
      <c r="I133" s="1"/>
      <c r="K133" s="21"/>
      <c r="L133" s="21"/>
      <c r="M133" s="21"/>
      <c r="O133" s="21"/>
      <c r="R133" s="21"/>
      <c r="S133" s="21"/>
      <c r="T133" s="21"/>
    </row>
    <row r="134">
      <c r="I134" s="1"/>
      <c r="K134" s="21"/>
      <c r="L134" s="21"/>
      <c r="M134" s="21"/>
      <c r="R134" s="21"/>
      <c r="S134" s="21"/>
      <c r="T134" s="21"/>
    </row>
    <row r="135">
      <c r="I135" s="1"/>
      <c r="K135" s="21"/>
      <c r="L135" s="21"/>
      <c r="M135" s="21"/>
      <c r="R135" s="21"/>
      <c r="S135" s="21"/>
      <c r="T135" s="21"/>
    </row>
    <row r="136">
      <c r="I136" s="1"/>
      <c r="K136" s="21"/>
      <c r="L136" s="21"/>
      <c r="M136" s="21"/>
      <c r="R136" s="21"/>
      <c r="S136" s="21"/>
      <c r="T136" s="21"/>
    </row>
    <row r="137">
      <c r="I137" s="1"/>
      <c r="K137" s="21"/>
      <c r="L137" s="21"/>
      <c r="M137" s="21"/>
      <c r="R137" s="21"/>
      <c r="S137" s="21"/>
      <c r="T137" s="21"/>
    </row>
    <row r="138">
      <c r="I138" s="1"/>
      <c r="K138" s="21"/>
      <c r="L138" s="21"/>
      <c r="M138" s="21"/>
    </row>
    <row r="139">
      <c r="I139" s="1"/>
    </row>
    <row r="140">
      <c r="I140" s="1"/>
    </row>
    <row r="141">
      <c r="I141" s="1"/>
    </row>
    <row r="142">
      <c r="I142" s="1"/>
    </row>
    <row r="143">
      <c r="I143" s="1"/>
    </row>
    <row r="144">
      <c r="I144" s="1"/>
    </row>
    <row r="145">
      <c r="I145" s="1"/>
    </row>
    <row r="146">
      <c r="I146" s="1"/>
    </row>
    <row r="147">
      <c r="I147" s="1"/>
    </row>
    <row r="148">
      <c r="I148" s="1"/>
    </row>
    <row r="149">
      <c r="I149" s="1"/>
    </row>
    <row r="150">
      <c r="I150" s="1"/>
    </row>
    <row r="151">
      <c r="I151" s="1"/>
    </row>
    <row r="152">
      <c r="I152" s="1"/>
    </row>
    <row r="153">
      <c r="I153" s="1"/>
    </row>
    <row r="154">
      <c r="I154" s="1"/>
    </row>
    <row r="155">
      <c r="I155" s="1"/>
    </row>
    <row r="156">
      <c r="I156" s="1"/>
    </row>
    <row r="157">
      <c r="I157" s="1"/>
    </row>
    <row r="158">
      <c r="I158" s="1"/>
    </row>
    <row r="159">
      <c r="I159" s="1"/>
    </row>
    <row r="160">
      <c r="I160" s="1"/>
    </row>
    <row r="161">
      <c r="I161" s="1"/>
    </row>
    <row r="162">
      <c r="I162" s="1"/>
    </row>
    <row r="163">
      <c r="I163" s="1"/>
    </row>
    <row r="164">
      <c r="I164" s="1"/>
    </row>
    <row r="165">
      <c r="I165" s="1"/>
    </row>
    <row r="166">
      <c r="I166" s="1"/>
    </row>
    <row r="167">
      <c r="I167" s="1"/>
    </row>
    <row r="168">
      <c r="I168" s="1"/>
    </row>
    <row r="169">
      <c r="I169" s="1"/>
    </row>
    <row r="170">
      <c r="I170" s="1"/>
    </row>
    <row r="171">
      <c r="I171" s="1"/>
    </row>
    <row r="172">
      <c r="I172" s="1"/>
    </row>
    <row r="173">
      <c r="I173" s="1"/>
    </row>
    <row r="174">
      <c r="I174" s="1"/>
    </row>
    <row r="175">
      <c r="I175" s="1"/>
    </row>
    <row r="176">
      <c r="I176" s="1"/>
    </row>
    <row r="177">
      <c r="I177" s="1"/>
    </row>
    <row r="178">
      <c r="I178" s="1"/>
    </row>
    <row r="179">
      <c r="I179" s="1"/>
    </row>
    <row r="180">
      <c r="I180" s="1"/>
    </row>
    <row r="181">
      <c r="I181" s="1"/>
    </row>
    <row r="182">
      <c r="I182" s="1"/>
    </row>
    <row r="183">
      <c r="I183" s="1"/>
    </row>
    <row r="184">
      <c r="I184" s="1"/>
    </row>
    <row r="185">
      <c r="I185" s="1"/>
    </row>
    <row r="186">
      <c r="I186" s="1"/>
    </row>
    <row r="187">
      <c r="I187" s="1"/>
    </row>
    <row r="188">
      <c r="I188" s="1"/>
    </row>
    <row r="189">
      <c r="I189" s="1"/>
    </row>
    <row r="190">
      <c r="I190" s="1"/>
    </row>
    <row r="191">
      <c r="I191" s="1"/>
    </row>
    <row r="192">
      <c r="I192" s="1"/>
    </row>
    <row r="193">
      <c r="I193" s="1"/>
    </row>
    <row r="194">
      <c r="I194" s="1"/>
    </row>
    <row r="195">
      <c r="I195" s="1"/>
    </row>
    <row r="196">
      <c r="I196" s="1"/>
    </row>
    <row r="197">
      <c r="I197" s="1"/>
    </row>
    <row r="198">
      <c r="I198" s="1"/>
    </row>
    <row r="199">
      <c r="I199" s="1"/>
    </row>
    <row r="200">
      <c r="I200" s="1"/>
    </row>
    <row r="201">
      <c r="I201" s="1"/>
    </row>
    <row r="202">
      <c r="I202" s="1"/>
    </row>
    <row r="203">
      <c r="I203" s="1"/>
    </row>
    <row r="204">
      <c r="I204" s="1"/>
    </row>
    <row r="205">
      <c r="I205" s="1"/>
    </row>
    <row r="206">
      <c r="I206" s="1"/>
    </row>
    <row r="207">
      <c r="I207" s="1"/>
    </row>
    <row r="208">
      <c r="I208" s="1"/>
    </row>
    <row r="209">
      <c r="I209" s="1"/>
    </row>
    <row r="210">
      <c r="I210" s="1"/>
    </row>
    <row r="211">
      <c r="I211" s="1"/>
    </row>
    <row r="212">
      <c r="I212" s="1"/>
    </row>
    <row r="213">
      <c r="I213" s="1"/>
    </row>
    <row r="214">
      <c r="I214" s="1"/>
    </row>
    <row r="215">
      <c r="I215" s="1"/>
    </row>
    <row r="216">
      <c r="I216" s="1"/>
    </row>
    <row r="217">
      <c r="I217" s="1"/>
    </row>
    <row r="218">
      <c r="I218" s="1"/>
    </row>
    <row r="219">
      <c r="I219" s="1"/>
    </row>
    <row r="220">
      <c r="I220" s="1"/>
    </row>
    <row r="221">
      <c r="I221" s="1"/>
    </row>
    <row r="222">
      <c r="I222" s="1"/>
    </row>
    <row r="223">
      <c r="I223" s="1"/>
    </row>
    <row r="224">
      <c r="I224" s="1"/>
    </row>
    <row r="225">
      <c r="I225" s="1"/>
    </row>
    <row r="226">
      <c r="I226" s="1"/>
    </row>
    <row r="227">
      <c r="I227" s="1"/>
    </row>
    <row r="228">
      <c r="I228" s="1"/>
    </row>
    <row r="229">
      <c r="I229" s="1"/>
    </row>
    <row r="230">
      <c r="I230" s="1"/>
    </row>
    <row r="231">
      <c r="I231" s="1"/>
    </row>
    <row r="232">
      <c r="I232" s="1"/>
    </row>
    <row r="233">
      <c r="I233" s="1"/>
    </row>
    <row r="234">
      <c r="I234" s="1"/>
    </row>
    <row r="235">
      <c r="I235" s="1"/>
    </row>
    <row r="236">
      <c r="I236" s="1"/>
    </row>
    <row r="237">
      <c r="I237" s="1"/>
    </row>
    <row r="238">
      <c r="I238" s="1"/>
    </row>
    <row r="239">
      <c r="I239" s="1"/>
    </row>
    <row r="240">
      <c r="I240" s="1"/>
    </row>
    <row r="241">
      <c r="I241" s="1"/>
    </row>
    <row r="242">
      <c r="I242" s="1"/>
    </row>
    <row r="243">
      <c r="I243" s="1"/>
    </row>
    <row r="244">
      <c r="I244" s="1"/>
    </row>
    <row r="245">
      <c r="I245" s="1"/>
    </row>
    <row r="246">
      <c r="I246" s="1"/>
    </row>
    <row r="247">
      <c r="I247" s="1"/>
    </row>
    <row r="248">
      <c r="I248" s="1"/>
    </row>
    <row r="249">
      <c r="I249" s="1"/>
    </row>
    <row r="250">
      <c r="I250" s="1"/>
    </row>
    <row r="251">
      <c r="I251" s="1"/>
    </row>
    <row r="252">
      <c r="I252" s="1"/>
    </row>
    <row r="253">
      <c r="I253" s="1"/>
    </row>
    <row r="254">
      <c r="I254" s="1"/>
    </row>
    <row r="255">
      <c r="I255" s="1"/>
    </row>
    <row r="256">
      <c r="I256" s="1"/>
    </row>
    <row r="257">
      <c r="I257" s="1"/>
    </row>
    <row r="258">
      <c r="I258" s="1"/>
    </row>
    <row r="259">
      <c r="I259" s="1"/>
    </row>
    <row r="260">
      <c r="I260" s="1"/>
    </row>
    <row r="261">
      <c r="I261" s="1"/>
    </row>
    <row r="262">
      <c r="I262" s="1"/>
    </row>
    <row r="263">
      <c r="I263" s="1"/>
    </row>
    <row r="264">
      <c r="I264" s="1"/>
    </row>
    <row r="265">
      <c r="I265" s="1"/>
    </row>
    <row r="266">
      <c r="I266" s="1"/>
    </row>
    <row r="267">
      <c r="I267" s="1"/>
    </row>
    <row r="268">
      <c r="I268" s="1"/>
    </row>
    <row r="269">
      <c r="I269" s="1"/>
    </row>
    <row r="270">
      <c r="I270" s="1"/>
    </row>
    <row r="271">
      <c r="I271" s="1"/>
    </row>
    <row r="272">
      <c r="I272" s="1"/>
    </row>
    <row r="273">
      <c r="I273" s="1"/>
    </row>
    <row r="274">
      <c r="I274" s="1"/>
    </row>
    <row r="275">
      <c r="I275" s="1"/>
    </row>
    <row r="276">
      <c r="I276" s="1"/>
    </row>
    <row r="277">
      <c r="I277" s="1"/>
    </row>
    <row r="278">
      <c r="I278" s="1"/>
    </row>
    <row r="279">
      <c r="I279" s="1"/>
    </row>
    <row r="280">
      <c r="I280" s="1"/>
    </row>
    <row r="281">
      <c r="I281" s="1"/>
    </row>
    <row r="282">
      <c r="I282" s="1"/>
    </row>
    <row r="283">
      <c r="I283" s="1"/>
    </row>
    <row r="284">
      <c r="I284" s="1"/>
    </row>
    <row r="285">
      <c r="I285" s="1"/>
    </row>
    <row r="286">
      <c r="I286" s="1"/>
    </row>
    <row r="287">
      <c r="I287" s="1"/>
    </row>
    <row r="288">
      <c r="I288" s="1"/>
    </row>
    <row r="289">
      <c r="I289" s="1"/>
    </row>
    <row r="290">
      <c r="I290" s="1"/>
    </row>
    <row r="291">
      <c r="I291" s="1"/>
    </row>
    <row r="292">
      <c r="I292" s="1"/>
    </row>
    <row r="293">
      <c r="I293" s="1"/>
    </row>
    <row r="294">
      <c r="I294" s="1"/>
    </row>
    <row r="295">
      <c r="I295" s="1"/>
    </row>
    <row r="296">
      <c r="I296" s="1"/>
    </row>
    <row r="297">
      <c r="I297" s="1"/>
    </row>
    <row r="298">
      <c r="I298" s="1"/>
    </row>
    <row r="299">
      <c r="I299" s="1"/>
    </row>
    <row r="300">
      <c r="I300" s="1"/>
    </row>
    <row r="301">
      <c r="I301" s="1"/>
    </row>
    <row r="302">
      <c r="I302" s="1"/>
    </row>
    <row r="303">
      <c r="I303" s="1"/>
    </row>
    <row r="304">
      <c r="I304" s="1"/>
    </row>
    <row r="305">
      <c r="I305" s="1"/>
    </row>
    <row r="306">
      <c r="I306" s="1"/>
    </row>
    <row r="307">
      <c r="I307" s="1"/>
    </row>
    <row r="308">
      <c r="I308" s="1"/>
    </row>
    <row r="309">
      <c r="I309" s="1"/>
    </row>
    <row r="310">
      <c r="I310" s="1"/>
    </row>
    <row r="311">
      <c r="I311" s="1"/>
    </row>
    <row r="312">
      <c r="I312" s="1"/>
    </row>
    <row r="313">
      <c r="I313" s="1"/>
    </row>
    <row r="314">
      <c r="I314" s="1"/>
    </row>
    <row r="315">
      <c r="I315" s="1"/>
    </row>
    <row r="316">
      <c r="I316" s="1"/>
    </row>
    <row r="317">
      <c r="I317" s="1"/>
    </row>
    <row r="318">
      <c r="I318" s="1"/>
    </row>
    <row r="319">
      <c r="I319" s="1"/>
    </row>
    <row r="320">
      <c r="I320" s="1"/>
    </row>
    <row r="321">
      <c r="I321" s="1"/>
    </row>
    <row r="322">
      <c r="I322" s="1"/>
    </row>
    <row r="323">
      <c r="I323" s="1"/>
    </row>
    <row r="324">
      <c r="I324" s="1"/>
    </row>
    <row r="325">
      <c r="I325" s="1"/>
    </row>
    <row r="326">
      <c r="I326" s="1"/>
    </row>
    <row r="327">
      <c r="I327" s="1"/>
    </row>
    <row r="328">
      <c r="I328" s="1"/>
    </row>
    <row r="329">
      <c r="I329" s="1"/>
    </row>
    <row r="330">
      <c r="I330" s="1"/>
    </row>
    <row r="331">
      <c r="I331" s="1"/>
    </row>
    <row r="332">
      <c r="I332" s="1"/>
    </row>
    <row r="333">
      <c r="I333" s="1"/>
    </row>
    <row r="334">
      <c r="I334" s="1"/>
    </row>
    <row r="335">
      <c r="I335" s="1"/>
    </row>
    <row r="336">
      <c r="I336" s="1"/>
    </row>
    <row r="337">
      <c r="I337" s="1"/>
    </row>
    <row r="338">
      <c r="I338" s="1"/>
    </row>
    <row r="339">
      <c r="I339" s="1"/>
    </row>
    <row r="340">
      <c r="I340" s="1"/>
    </row>
    <row r="341">
      <c r="I341" s="1"/>
    </row>
    <row r="342">
      <c r="I342" s="1"/>
    </row>
    <row r="343">
      <c r="I343" s="1"/>
    </row>
    <row r="344">
      <c r="I344" s="1"/>
    </row>
    <row r="345">
      <c r="I345" s="1"/>
    </row>
    <row r="346">
      <c r="I346" s="1"/>
    </row>
    <row r="347">
      <c r="I347" s="1"/>
    </row>
    <row r="348">
      <c r="I348" s="1"/>
    </row>
    <row r="349">
      <c r="I349" s="1"/>
    </row>
    <row r="350">
      <c r="I350" s="1"/>
    </row>
    <row r="351">
      <c r="I351" s="1"/>
    </row>
    <row r="352">
      <c r="I352" s="1"/>
    </row>
    <row r="353">
      <c r="I353" s="1"/>
    </row>
    <row r="354">
      <c r="I354" s="1"/>
    </row>
    <row r="355">
      <c r="I355" s="1"/>
    </row>
    <row r="356">
      <c r="I356" s="1"/>
    </row>
    <row r="357">
      <c r="I357" s="1"/>
    </row>
    <row r="358">
      <c r="I358" s="1"/>
    </row>
    <row r="359">
      <c r="I359" s="1"/>
    </row>
    <row r="360">
      <c r="I360" s="1"/>
    </row>
    <row r="361">
      <c r="I361" s="1"/>
    </row>
    <row r="362">
      <c r="I362" s="1"/>
    </row>
    <row r="363">
      <c r="I363" s="1"/>
    </row>
    <row r="364">
      <c r="I364" s="1"/>
    </row>
    <row r="365">
      <c r="I365" s="1"/>
    </row>
    <row r="366">
      <c r="I366" s="1"/>
    </row>
    <row r="367">
      <c r="I367" s="1"/>
    </row>
    <row r="368">
      <c r="I368" s="1"/>
    </row>
    <row r="369">
      <c r="I369" s="1"/>
    </row>
    <row r="370">
      <c r="I370" s="1"/>
    </row>
    <row r="371">
      <c r="I371" s="1"/>
    </row>
    <row r="372">
      <c r="I372" s="1"/>
    </row>
    <row r="373">
      <c r="I373" s="1"/>
    </row>
    <row r="374">
      <c r="I374" s="1"/>
    </row>
    <row r="375">
      <c r="I375" s="1"/>
    </row>
    <row r="376">
      <c r="I376" s="1"/>
    </row>
    <row r="377">
      <c r="I377" s="1"/>
    </row>
    <row r="378">
      <c r="I378" s="1"/>
    </row>
    <row r="379">
      <c r="I379" s="1"/>
    </row>
    <row r="380">
      <c r="I380" s="1"/>
    </row>
    <row r="381">
      <c r="I381" s="1"/>
    </row>
    <row r="382">
      <c r="I382" s="1"/>
    </row>
    <row r="383">
      <c r="I383" s="1"/>
    </row>
    <row r="384">
      <c r="I384" s="1"/>
    </row>
    <row r="385">
      <c r="I385" s="1"/>
    </row>
    <row r="386">
      <c r="I386" s="1"/>
    </row>
    <row r="387">
      <c r="I387" s="1"/>
    </row>
    <row r="388">
      <c r="I388" s="1"/>
    </row>
    <row r="389">
      <c r="I389" s="1"/>
    </row>
    <row r="390">
      <c r="I390" s="1"/>
    </row>
    <row r="391">
      <c r="I391" s="1"/>
    </row>
    <row r="392">
      <c r="I392" s="1"/>
    </row>
    <row r="393">
      <c r="I393" s="1"/>
    </row>
    <row r="394">
      <c r="I394" s="1"/>
    </row>
    <row r="395">
      <c r="I395" s="1"/>
    </row>
    <row r="396">
      <c r="I396" s="1"/>
    </row>
    <row r="397">
      <c r="I397" s="1"/>
    </row>
    <row r="398">
      <c r="I398" s="1"/>
    </row>
    <row r="399">
      <c r="I399" s="1"/>
    </row>
    <row r="400">
      <c r="I400" s="1"/>
    </row>
    <row r="401">
      <c r="I401" s="1"/>
    </row>
    <row r="402">
      <c r="I402" s="1"/>
    </row>
    <row r="403">
      <c r="I403" s="1"/>
    </row>
    <row r="404">
      <c r="I404" s="1"/>
    </row>
    <row r="405">
      <c r="I405" s="1"/>
    </row>
    <row r="406">
      <c r="I406" s="1"/>
    </row>
    <row r="407">
      <c r="I407" s="1"/>
    </row>
    <row r="408">
      <c r="I408" s="1"/>
    </row>
    <row r="409">
      <c r="I409" s="1"/>
    </row>
    <row r="410">
      <c r="I410" s="1"/>
    </row>
    <row r="411">
      <c r="I411" s="1"/>
    </row>
    <row r="412">
      <c r="I412" s="1"/>
    </row>
    <row r="413">
      <c r="I413" s="1"/>
    </row>
    <row r="414">
      <c r="I414" s="1"/>
    </row>
    <row r="415">
      <c r="I415" s="1"/>
    </row>
    <row r="416">
      <c r="I416" s="1"/>
    </row>
    <row r="417">
      <c r="I417" s="1"/>
    </row>
    <row r="418">
      <c r="I418" s="1"/>
    </row>
    <row r="419">
      <c r="I419" s="1"/>
    </row>
    <row r="420">
      <c r="I420" s="1"/>
    </row>
    <row r="421">
      <c r="I421" s="1"/>
    </row>
    <row r="422">
      <c r="I422" s="1"/>
    </row>
    <row r="423">
      <c r="I423" s="1"/>
    </row>
    <row r="424">
      <c r="I424" s="1"/>
    </row>
    <row r="425">
      <c r="I425" s="1"/>
    </row>
    <row r="426">
      <c r="I426" s="1"/>
    </row>
    <row r="427">
      <c r="I427" s="1"/>
    </row>
    <row r="428">
      <c r="I428" s="1"/>
    </row>
    <row r="429">
      <c r="I429" s="1"/>
    </row>
    <row r="430">
      <c r="I430" s="1"/>
    </row>
    <row r="431">
      <c r="I431" s="1"/>
    </row>
    <row r="432">
      <c r="I432" s="1"/>
    </row>
    <row r="433">
      <c r="I433" s="1"/>
    </row>
    <row r="434">
      <c r="I434" s="1"/>
    </row>
    <row r="435">
      <c r="I435" s="1"/>
    </row>
    <row r="436">
      <c r="I436" s="1"/>
    </row>
    <row r="437">
      <c r="I437" s="1"/>
    </row>
    <row r="438">
      <c r="I438" s="1"/>
    </row>
    <row r="439">
      <c r="I439" s="1"/>
    </row>
    <row r="440">
      <c r="I440" s="1"/>
    </row>
    <row r="441">
      <c r="I441" s="1"/>
    </row>
    <row r="442">
      <c r="I442" s="1"/>
    </row>
    <row r="443">
      <c r="I443" s="1"/>
    </row>
    <row r="444">
      <c r="I444" s="1"/>
    </row>
    <row r="445">
      <c r="I445" s="1"/>
    </row>
    <row r="446">
      <c r="I446" s="1"/>
    </row>
    <row r="447">
      <c r="I447" s="1"/>
    </row>
    <row r="448">
      <c r="I448" s="1"/>
    </row>
    <row r="449">
      <c r="I449" s="1"/>
    </row>
    <row r="450">
      <c r="I450" s="1"/>
    </row>
    <row r="451">
      <c r="I451" s="1"/>
    </row>
    <row r="452">
      <c r="I452" s="1"/>
    </row>
    <row r="453">
      <c r="I453" s="1"/>
    </row>
    <row r="454">
      <c r="I454" s="1"/>
    </row>
    <row r="455">
      <c r="I455" s="1"/>
    </row>
    <row r="456">
      <c r="I456" s="1"/>
    </row>
    <row r="457">
      <c r="I457" s="1"/>
    </row>
    <row r="458">
      <c r="I458" s="1"/>
    </row>
    <row r="459">
      <c r="I459" s="1"/>
    </row>
    <row r="460">
      <c r="I460" s="1"/>
    </row>
    <row r="461">
      <c r="I461" s="1"/>
    </row>
    <row r="462">
      <c r="I462" s="1"/>
    </row>
    <row r="463">
      <c r="I463" s="1"/>
    </row>
    <row r="464">
      <c r="I464" s="1"/>
    </row>
    <row r="465">
      <c r="I465" s="1"/>
    </row>
    <row r="466">
      <c r="I466" s="1"/>
    </row>
    <row r="467">
      <c r="I467" s="1"/>
    </row>
    <row r="468">
      <c r="I468" s="1"/>
    </row>
    <row r="469">
      <c r="I469" s="1"/>
    </row>
    <row r="470">
      <c r="I470" s="1"/>
    </row>
    <row r="471">
      <c r="I471" s="1"/>
    </row>
    <row r="472">
      <c r="I472" s="1"/>
    </row>
    <row r="473">
      <c r="I473" s="1"/>
    </row>
    <row r="474">
      <c r="I474" s="1"/>
    </row>
    <row r="475">
      <c r="I475" s="1"/>
    </row>
    <row r="476">
      <c r="I476" s="1"/>
    </row>
    <row r="477">
      <c r="I477" s="1"/>
    </row>
    <row r="478">
      <c r="I478" s="1"/>
    </row>
    <row r="479">
      <c r="I479" s="1"/>
    </row>
    <row r="480">
      <c r="I480" s="1"/>
    </row>
    <row r="481">
      <c r="I481" s="1"/>
    </row>
    <row r="482">
      <c r="I482" s="1"/>
    </row>
    <row r="483">
      <c r="I483" s="1"/>
    </row>
    <row r="484">
      <c r="I484" s="1"/>
    </row>
    <row r="485">
      <c r="I485" s="1"/>
    </row>
    <row r="486">
      <c r="I486" s="1"/>
    </row>
    <row r="487">
      <c r="I487" s="1"/>
    </row>
    <row r="488">
      <c r="I488" s="1"/>
    </row>
    <row r="489">
      <c r="I489" s="1"/>
    </row>
    <row r="490">
      <c r="I490" s="1"/>
    </row>
    <row r="491">
      <c r="I491" s="1"/>
    </row>
    <row r="492">
      <c r="I492" s="1"/>
    </row>
    <row r="493">
      <c r="I493" s="1"/>
    </row>
    <row r="494">
      <c r="I494" s="1"/>
    </row>
    <row r="495">
      <c r="I495" s="1"/>
    </row>
    <row r="496">
      <c r="I496" s="1"/>
    </row>
    <row r="497">
      <c r="I497" s="1"/>
    </row>
    <row r="498">
      <c r="I498" s="1"/>
    </row>
    <row r="499">
      <c r="I499" s="1"/>
    </row>
    <row r="500">
      <c r="I500" s="1"/>
    </row>
    <row r="501">
      <c r="I501" s="1"/>
    </row>
    <row r="502">
      <c r="I502" s="1"/>
    </row>
    <row r="503">
      <c r="I503" s="1"/>
    </row>
    <row r="504">
      <c r="I504" s="1"/>
    </row>
    <row r="505">
      <c r="I505" s="1"/>
    </row>
    <row r="506">
      <c r="I506" s="1"/>
    </row>
    <row r="507">
      <c r="I507" s="1"/>
    </row>
    <row r="508">
      <c r="I508" s="1"/>
    </row>
    <row r="509">
      <c r="I509" s="1"/>
    </row>
    <row r="510">
      <c r="I510" s="1"/>
    </row>
    <row r="511">
      <c r="I511" s="1"/>
    </row>
    <row r="512">
      <c r="I512" s="1"/>
    </row>
    <row r="513">
      <c r="I513" s="1"/>
    </row>
    <row r="514">
      <c r="I514" s="1"/>
    </row>
    <row r="515">
      <c r="I515" s="1"/>
    </row>
    <row r="516">
      <c r="I516" s="1"/>
    </row>
    <row r="517">
      <c r="I517" s="1"/>
    </row>
    <row r="518">
      <c r="I518" s="1"/>
    </row>
    <row r="519">
      <c r="I519" s="1"/>
    </row>
    <row r="520">
      <c r="I520" s="1"/>
    </row>
    <row r="521">
      <c r="I521" s="1"/>
    </row>
    <row r="522">
      <c r="I522" s="1"/>
    </row>
    <row r="523">
      <c r="I523" s="1"/>
    </row>
    <row r="524">
      <c r="I524" s="1"/>
    </row>
    <row r="525">
      <c r="I525" s="1"/>
    </row>
    <row r="526">
      <c r="I526" s="1"/>
    </row>
    <row r="527">
      <c r="I527" s="1"/>
    </row>
    <row r="528">
      <c r="I528" s="1"/>
    </row>
    <row r="529">
      <c r="I529" s="1"/>
    </row>
    <row r="530">
      <c r="I530" s="1"/>
    </row>
    <row r="531">
      <c r="I531" s="1"/>
    </row>
    <row r="532">
      <c r="I532" s="1"/>
    </row>
    <row r="533">
      <c r="I533" s="1"/>
    </row>
    <row r="534">
      <c r="I534" s="1"/>
    </row>
    <row r="535">
      <c r="I535" s="1"/>
    </row>
    <row r="536">
      <c r="I536" s="1"/>
    </row>
    <row r="537">
      <c r="I537" s="1"/>
    </row>
    <row r="538">
      <c r="I538" s="1"/>
    </row>
    <row r="539">
      <c r="I539" s="1"/>
    </row>
    <row r="540">
      <c r="I540" s="1"/>
    </row>
    <row r="541">
      <c r="I541" s="1"/>
    </row>
    <row r="542">
      <c r="I542" s="1"/>
    </row>
    <row r="543">
      <c r="I543" s="1"/>
    </row>
    <row r="544">
      <c r="I544" s="1"/>
    </row>
    <row r="545">
      <c r="I545" s="1"/>
    </row>
    <row r="546">
      <c r="I546" s="1"/>
    </row>
    <row r="547">
      <c r="I547" s="1"/>
    </row>
    <row r="548">
      <c r="I548" s="1"/>
    </row>
    <row r="549">
      <c r="I549" s="1"/>
    </row>
    <row r="550">
      <c r="I550" s="1"/>
    </row>
    <row r="551">
      <c r="I551" s="1"/>
    </row>
    <row r="552">
      <c r="I552" s="1"/>
    </row>
    <row r="553">
      <c r="I553" s="1"/>
    </row>
    <row r="554">
      <c r="I554" s="1"/>
    </row>
    <row r="555">
      <c r="I555" s="1"/>
    </row>
    <row r="556">
      <c r="I556" s="1"/>
    </row>
    <row r="557">
      <c r="I557" s="1"/>
    </row>
    <row r="558">
      <c r="I558" s="1"/>
    </row>
    <row r="559">
      <c r="I559" s="1"/>
    </row>
    <row r="560">
      <c r="I560" s="1"/>
    </row>
    <row r="561">
      <c r="I561" s="1"/>
    </row>
    <row r="562">
      <c r="I562" s="1"/>
    </row>
    <row r="563">
      <c r="I563" s="1"/>
    </row>
    <row r="564">
      <c r="I564" s="1"/>
    </row>
    <row r="565">
      <c r="I565" s="1"/>
    </row>
    <row r="566">
      <c r="I566" s="1"/>
    </row>
    <row r="567">
      <c r="I567" s="1"/>
    </row>
    <row r="568">
      <c r="I568" s="1"/>
    </row>
    <row r="569">
      <c r="I569" s="1"/>
    </row>
    <row r="570">
      <c r="I570" s="1"/>
    </row>
    <row r="571">
      <c r="I571" s="1"/>
    </row>
    <row r="572">
      <c r="I572" s="1"/>
    </row>
    <row r="573">
      <c r="I573" s="1"/>
    </row>
    <row r="574">
      <c r="I574" s="1"/>
    </row>
    <row r="575">
      <c r="I575" s="1"/>
    </row>
    <row r="576">
      <c r="I576" s="1"/>
    </row>
    <row r="577">
      <c r="I577" s="1"/>
    </row>
    <row r="578">
      <c r="I578" s="1"/>
    </row>
    <row r="579">
      <c r="I579" s="1"/>
    </row>
    <row r="580">
      <c r="I580" s="1"/>
    </row>
    <row r="581">
      <c r="I581" s="1"/>
    </row>
    <row r="582">
      <c r="I582" s="1"/>
    </row>
    <row r="583">
      <c r="I583" s="1"/>
    </row>
    <row r="584">
      <c r="I584" s="1"/>
    </row>
    <row r="585">
      <c r="I585" s="1"/>
    </row>
    <row r="586">
      <c r="I586" s="1"/>
    </row>
    <row r="587">
      <c r="I587" s="1"/>
    </row>
    <row r="588">
      <c r="I588" s="1"/>
    </row>
    <row r="589">
      <c r="I589" s="1"/>
    </row>
    <row r="590">
      <c r="I590" s="1"/>
    </row>
    <row r="591">
      <c r="I591" s="1"/>
    </row>
    <row r="592">
      <c r="I592" s="1"/>
    </row>
    <row r="593">
      <c r="I593" s="1"/>
    </row>
    <row r="594">
      <c r="I594" s="1"/>
    </row>
    <row r="595">
      <c r="I595" s="1"/>
    </row>
    <row r="596">
      <c r="I596" s="1"/>
    </row>
    <row r="597">
      <c r="I597" s="1"/>
    </row>
    <row r="598">
      <c r="I598" s="1"/>
    </row>
    <row r="599">
      <c r="I599" s="1"/>
    </row>
    <row r="600">
      <c r="I600" s="1"/>
    </row>
    <row r="601">
      <c r="I601" s="1"/>
    </row>
    <row r="602">
      <c r="I602" s="1"/>
    </row>
    <row r="603">
      <c r="I603" s="1"/>
    </row>
    <row r="604">
      <c r="I604" s="1"/>
    </row>
    <row r="605">
      <c r="I605" s="1"/>
    </row>
    <row r="606">
      <c r="I606" s="1"/>
    </row>
    <row r="607">
      <c r="I607" s="1"/>
    </row>
    <row r="608">
      <c r="I608" s="1"/>
    </row>
    <row r="609">
      <c r="I609" s="1"/>
    </row>
    <row r="610">
      <c r="I610" s="1"/>
    </row>
    <row r="611">
      <c r="I611" s="1"/>
    </row>
    <row r="612">
      <c r="I612" s="1"/>
    </row>
    <row r="613">
      <c r="I613" s="1"/>
    </row>
    <row r="614">
      <c r="I614" s="1"/>
    </row>
    <row r="615">
      <c r="I615" s="1"/>
    </row>
    <row r="616">
      <c r="I616" s="1"/>
    </row>
    <row r="617">
      <c r="I617" s="1"/>
    </row>
    <row r="618">
      <c r="I618" s="1"/>
    </row>
    <row r="619">
      <c r="I619" s="1"/>
    </row>
    <row r="620">
      <c r="I620" s="1"/>
    </row>
    <row r="621">
      <c r="I621" s="1"/>
    </row>
    <row r="622">
      <c r="I622" s="1"/>
    </row>
    <row r="623">
      <c r="I623" s="1"/>
    </row>
    <row r="624">
      <c r="I624" s="1"/>
    </row>
    <row r="625">
      <c r="I625" s="1"/>
    </row>
    <row r="626">
      <c r="I626" s="1"/>
    </row>
    <row r="627">
      <c r="I627" s="1"/>
    </row>
    <row r="628">
      <c r="I628" s="1"/>
    </row>
    <row r="629">
      <c r="I629" s="1"/>
    </row>
    <row r="630">
      <c r="I630" s="1"/>
    </row>
    <row r="631">
      <c r="I631" s="1"/>
    </row>
    <row r="632">
      <c r="I632" s="1"/>
    </row>
    <row r="633">
      <c r="I633" s="1"/>
    </row>
    <row r="634">
      <c r="I634" s="1"/>
    </row>
    <row r="635">
      <c r="I635" s="1"/>
    </row>
    <row r="636">
      <c r="I636" s="1"/>
    </row>
    <row r="637">
      <c r="I637" s="1"/>
    </row>
    <row r="638">
      <c r="I638" s="1"/>
    </row>
    <row r="639">
      <c r="I639" s="1"/>
    </row>
    <row r="640">
      <c r="I640" s="1"/>
    </row>
    <row r="641">
      <c r="I641" s="1"/>
    </row>
    <row r="642">
      <c r="I642" s="1"/>
    </row>
    <row r="643">
      <c r="I643" s="1"/>
    </row>
    <row r="644">
      <c r="I644" s="1"/>
    </row>
    <row r="645">
      <c r="I645" s="1"/>
    </row>
    <row r="646">
      <c r="I646" s="1"/>
    </row>
    <row r="647">
      <c r="I647" s="1"/>
    </row>
    <row r="648">
      <c r="I648" s="1"/>
    </row>
    <row r="649">
      <c r="I649" s="1"/>
    </row>
    <row r="650">
      <c r="I650" s="1"/>
    </row>
    <row r="651">
      <c r="I651" s="1"/>
    </row>
    <row r="652">
      <c r="I652" s="1"/>
    </row>
    <row r="653">
      <c r="I653" s="1"/>
    </row>
    <row r="654">
      <c r="I654" s="1"/>
    </row>
    <row r="655">
      <c r="I655" s="1"/>
    </row>
    <row r="656">
      <c r="I656" s="1"/>
    </row>
    <row r="657">
      <c r="I657" s="1"/>
    </row>
    <row r="658">
      <c r="I658" s="1"/>
    </row>
    <row r="659">
      <c r="I659" s="1"/>
    </row>
    <row r="660">
      <c r="I660" s="1"/>
    </row>
    <row r="661">
      <c r="I661" s="1"/>
    </row>
    <row r="662">
      <c r="I662" s="1"/>
    </row>
    <row r="663">
      <c r="I663" s="1"/>
    </row>
    <row r="664">
      <c r="I664" s="1"/>
    </row>
    <row r="665">
      <c r="I665" s="1"/>
    </row>
    <row r="666">
      <c r="I666" s="1"/>
    </row>
    <row r="667">
      <c r="I667" s="1"/>
    </row>
    <row r="668">
      <c r="I668" s="1"/>
    </row>
    <row r="669">
      <c r="I669" s="1"/>
    </row>
    <row r="670">
      <c r="I670" s="1"/>
    </row>
    <row r="671">
      <c r="I671" s="1"/>
    </row>
    <row r="672">
      <c r="I672" s="1"/>
    </row>
    <row r="673">
      <c r="I673" s="1"/>
    </row>
    <row r="674">
      <c r="I674" s="1"/>
    </row>
    <row r="675">
      <c r="I675" s="1"/>
    </row>
    <row r="676">
      <c r="I676" s="1"/>
    </row>
    <row r="677">
      <c r="I677" s="1"/>
    </row>
    <row r="678">
      <c r="I678" s="1"/>
    </row>
    <row r="679">
      <c r="I679" s="1"/>
    </row>
    <row r="680">
      <c r="I680" s="1"/>
    </row>
    <row r="681">
      <c r="I681" s="1"/>
    </row>
    <row r="682">
      <c r="I682" s="1"/>
    </row>
    <row r="683">
      <c r="I683" s="1"/>
    </row>
    <row r="684">
      <c r="I684" s="1"/>
    </row>
    <row r="685">
      <c r="I685" s="1"/>
    </row>
    <row r="686">
      <c r="I686" s="1"/>
    </row>
    <row r="687">
      <c r="I687" s="1"/>
    </row>
    <row r="688">
      <c r="I688" s="1"/>
    </row>
    <row r="689">
      <c r="I689" s="1"/>
    </row>
    <row r="690">
      <c r="I690" s="1"/>
    </row>
    <row r="691">
      <c r="I691" s="1"/>
    </row>
    <row r="692">
      <c r="I692" s="1"/>
    </row>
    <row r="693">
      <c r="I693" s="1"/>
    </row>
    <row r="694">
      <c r="I694" s="1"/>
    </row>
    <row r="695">
      <c r="I695" s="1"/>
    </row>
    <row r="696">
      <c r="I696" s="1"/>
    </row>
    <row r="697">
      <c r="I697" s="1"/>
    </row>
    <row r="698">
      <c r="I698" s="1"/>
    </row>
    <row r="699">
      <c r="I699" s="1"/>
    </row>
    <row r="700">
      <c r="I700" s="1"/>
    </row>
    <row r="701">
      <c r="I701" s="1"/>
    </row>
    <row r="702">
      <c r="I702" s="1"/>
    </row>
    <row r="703">
      <c r="I703" s="1"/>
    </row>
    <row r="704">
      <c r="I704" s="1"/>
    </row>
    <row r="705">
      <c r="I705" s="1"/>
    </row>
    <row r="706">
      <c r="I706" s="1"/>
    </row>
    <row r="707">
      <c r="I707" s="1"/>
    </row>
    <row r="708">
      <c r="I708" s="1"/>
    </row>
    <row r="709">
      <c r="I709" s="1"/>
    </row>
    <row r="710">
      <c r="I710" s="1"/>
    </row>
    <row r="711">
      <c r="I711" s="1"/>
    </row>
    <row r="712">
      <c r="I712" s="1"/>
    </row>
    <row r="713">
      <c r="I713" s="1"/>
    </row>
    <row r="714">
      <c r="I714" s="1"/>
    </row>
    <row r="715">
      <c r="I715" s="1"/>
    </row>
    <row r="716">
      <c r="I716" s="1"/>
    </row>
    <row r="717">
      <c r="I717" s="1"/>
    </row>
    <row r="718">
      <c r="I718" s="1"/>
    </row>
    <row r="719">
      <c r="I719" s="1"/>
    </row>
    <row r="720">
      <c r="I720" s="1"/>
    </row>
    <row r="721">
      <c r="I721" s="1"/>
    </row>
    <row r="722">
      <c r="I722" s="1"/>
    </row>
    <row r="723">
      <c r="I723" s="1"/>
    </row>
    <row r="724">
      <c r="I724" s="1"/>
    </row>
    <row r="725">
      <c r="I725" s="1"/>
    </row>
    <row r="726">
      <c r="I726" s="1"/>
    </row>
    <row r="727">
      <c r="I727" s="1"/>
    </row>
    <row r="728">
      <c r="I728" s="1"/>
    </row>
    <row r="729">
      <c r="I729" s="1"/>
    </row>
    <row r="730">
      <c r="I730" s="1"/>
    </row>
    <row r="731">
      <c r="I731" s="1"/>
    </row>
    <row r="732">
      <c r="I732" s="1"/>
    </row>
    <row r="733">
      <c r="I733" s="1"/>
    </row>
    <row r="734">
      <c r="I734" s="1"/>
    </row>
    <row r="735">
      <c r="I735" s="1"/>
    </row>
    <row r="736">
      <c r="I736" s="1"/>
    </row>
    <row r="737">
      <c r="I737" s="1"/>
    </row>
    <row r="738">
      <c r="I738" s="1"/>
    </row>
    <row r="739">
      <c r="I739" s="1"/>
    </row>
    <row r="740">
      <c r="I740" s="1"/>
    </row>
    <row r="741">
      <c r="I741" s="1"/>
    </row>
    <row r="742">
      <c r="I742" s="1"/>
    </row>
    <row r="743">
      <c r="I743" s="1"/>
    </row>
    <row r="744">
      <c r="I744" s="1"/>
    </row>
    <row r="745">
      <c r="I745" s="1"/>
    </row>
    <row r="746">
      <c r="I746" s="1"/>
    </row>
    <row r="747">
      <c r="I747" s="1"/>
    </row>
    <row r="748">
      <c r="I748" s="1"/>
    </row>
    <row r="749">
      <c r="I749" s="1"/>
    </row>
    <row r="750">
      <c r="I750" s="1"/>
    </row>
    <row r="751">
      <c r="I751" s="1"/>
    </row>
    <row r="752">
      <c r="I752" s="1"/>
    </row>
    <row r="753">
      <c r="I753" s="1"/>
    </row>
    <row r="754">
      <c r="I754" s="1"/>
    </row>
    <row r="755">
      <c r="I755" s="1"/>
    </row>
    <row r="756">
      <c r="I756" s="1"/>
    </row>
    <row r="757">
      <c r="I757" s="1"/>
    </row>
    <row r="758">
      <c r="I758" s="1"/>
    </row>
    <row r="759">
      <c r="I759" s="1"/>
    </row>
    <row r="760">
      <c r="I760" s="1"/>
    </row>
    <row r="761">
      <c r="I761" s="1"/>
    </row>
    <row r="762">
      <c r="I762" s="1"/>
    </row>
    <row r="763">
      <c r="I763" s="1"/>
    </row>
    <row r="764">
      <c r="I764" s="1"/>
    </row>
    <row r="765">
      <c r="I765" s="1"/>
    </row>
    <row r="766">
      <c r="I766" s="1"/>
    </row>
    <row r="767">
      <c r="I767" s="1"/>
    </row>
    <row r="768">
      <c r="I768" s="1"/>
    </row>
    <row r="769">
      <c r="I769" s="1"/>
    </row>
    <row r="770">
      <c r="I770" s="1"/>
    </row>
    <row r="771">
      <c r="I771" s="1"/>
    </row>
    <row r="772">
      <c r="I772" s="1"/>
    </row>
    <row r="773">
      <c r="I773" s="1"/>
    </row>
    <row r="774">
      <c r="I774" s="1"/>
    </row>
    <row r="775">
      <c r="I775" s="1"/>
    </row>
    <row r="776">
      <c r="I776" s="1"/>
    </row>
    <row r="777">
      <c r="I777" s="1"/>
    </row>
    <row r="778">
      <c r="I778" s="1"/>
    </row>
    <row r="779">
      <c r="I779" s="1"/>
    </row>
    <row r="780">
      <c r="I780" s="1"/>
    </row>
    <row r="781">
      <c r="I781" s="1"/>
    </row>
    <row r="782">
      <c r="I782" s="1"/>
    </row>
    <row r="783">
      <c r="I783" s="1"/>
    </row>
    <row r="784">
      <c r="I784" s="1"/>
    </row>
    <row r="785">
      <c r="I785" s="1"/>
    </row>
    <row r="786">
      <c r="I786" s="1"/>
    </row>
    <row r="787">
      <c r="I787" s="1"/>
    </row>
    <row r="788">
      <c r="I788" s="1"/>
    </row>
    <row r="789">
      <c r="I789" s="1"/>
    </row>
    <row r="790">
      <c r="I790" s="1"/>
    </row>
    <row r="791">
      <c r="I791" s="1"/>
    </row>
    <row r="792">
      <c r="I792" s="1"/>
    </row>
    <row r="793">
      <c r="I793" s="1"/>
    </row>
    <row r="794">
      <c r="I794" s="1"/>
    </row>
    <row r="795">
      <c r="I795" s="1"/>
    </row>
    <row r="796">
      <c r="I796" s="1"/>
    </row>
    <row r="797">
      <c r="I797" s="1"/>
    </row>
    <row r="798">
      <c r="I798" s="1"/>
    </row>
    <row r="799">
      <c r="I799" s="1"/>
    </row>
    <row r="800">
      <c r="I800" s="1"/>
    </row>
    <row r="801">
      <c r="I801" s="1"/>
    </row>
    <row r="802">
      <c r="I802" s="1"/>
    </row>
    <row r="803">
      <c r="I803" s="1"/>
    </row>
    <row r="804">
      <c r="I804" s="1"/>
    </row>
    <row r="805">
      <c r="I805" s="1"/>
    </row>
    <row r="806">
      <c r="I806" s="1"/>
    </row>
    <row r="807">
      <c r="I807" s="1"/>
    </row>
    <row r="808">
      <c r="I808" s="1"/>
    </row>
    <row r="809">
      <c r="I809" s="1"/>
    </row>
    <row r="810">
      <c r="I810" s="1"/>
    </row>
    <row r="811">
      <c r="I811" s="1"/>
    </row>
    <row r="812">
      <c r="I812" s="1"/>
    </row>
    <row r="813">
      <c r="I813" s="1"/>
    </row>
    <row r="814">
      <c r="I814" s="1"/>
    </row>
    <row r="815">
      <c r="I815" s="1"/>
    </row>
    <row r="816">
      <c r="I816" s="1"/>
    </row>
    <row r="817">
      <c r="I817" s="1"/>
    </row>
    <row r="818">
      <c r="I818" s="1"/>
    </row>
    <row r="819">
      <c r="I819" s="1"/>
    </row>
    <row r="820">
      <c r="I820" s="1"/>
    </row>
    <row r="821">
      <c r="I821" s="1"/>
    </row>
    <row r="822">
      <c r="I822" s="1"/>
    </row>
    <row r="823">
      <c r="I823" s="1"/>
    </row>
    <row r="824">
      <c r="I824" s="1"/>
    </row>
    <row r="825">
      <c r="I825" s="1"/>
    </row>
    <row r="826">
      <c r="I826" s="1"/>
    </row>
    <row r="827">
      <c r="I827" s="1"/>
    </row>
    <row r="828">
      <c r="I828" s="1"/>
    </row>
    <row r="829">
      <c r="I829" s="1"/>
    </row>
    <row r="830">
      <c r="I830" s="1"/>
    </row>
    <row r="831">
      <c r="I831" s="1"/>
    </row>
    <row r="832">
      <c r="I832" s="1"/>
    </row>
    <row r="833">
      <c r="I833" s="1"/>
    </row>
    <row r="834">
      <c r="I834" s="1"/>
    </row>
    <row r="835">
      <c r="I835" s="1"/>
    </row>
    <row r="836">
      <c r="I836" s="1"/>
    </row>
    <row r="837">
      <c r="I837" s="1"/>
    </row>
    <row r="838">
      <c r="I838" s="1"/>
    </row>
    <row r="839">
      <c r="I839" s="1"/>
    </row>
    <row r="840">
      <c r="I840" s="1"/>
    </row>
    <row r="841">
      <c r="I841" s="1"/>
    </row>
    <row r="842">
      <c r="I842" s="1"/>
    </row>
    <row r="843">
      <c r="I843" s="1"/>
    </row>
    <row r="844">
      <c r="I844" s="1"/>
    </row>
    <row r="845">
      <c r="I845" s="1"/>
    </row>
    <row r="846">
      <c r="I846" s="1"/>
    </row>
    <row r="847">
      <c r="I847" s="1"/>
    </row>
    <row r="848">
      <c r="I848" s="1"/>
    </row>
    <row r="849">
      <c r="I849" s="1"/>
    </row>
    <row r="850">
      <c r="I850" s="1"/>
    </row>
    <row r="851">
      <c r="I851" s="1"/>
    </row>
    <row r="852">
      <c r="I852" s="1"/>
    </row>
    <row r="853">
      <c r="I853" s="1"/>
    </row>
    <row r="854">
      <c r="I854" s="1"/>
    </row>
    <row r="855">
      <c r="I855" s="1"/>
    </row>
    <row r="856">
      <c r="I856" s="1"/>
    </row>
    <row r="857">
      <c r="I857" s="1"/>
    </row>
    <row r="858">
      <c r="I858" s="1"/>
    </row>
    <row r="859">
      <c r="I859" s="1"/>
    </row>
    <row r="860">
      <c r="I860" s="1"/>
    </row>
    <row r="861">
      <c r="I861" s="1"/>
    </row>
    <row r="862">
      <c r="I862" s="1"/>
    </row>
    <row r="863">
      <c r="I863" s="1"/>
    </row>
    <row r="864">
      <c r="I864" s="1"/>
    </row>
    <row r="865">
      <c r="I865" s="1"/>
    </row>
    <row r="866">
      <c r="I866" s="1"/>
    </row>
    <row r="867">
      <c r="I867" s="1"/>
    </row>
    <row r="868">
      <c r="I868" s="1"/>
    </row>
    <row r="869">
      <c r="I869" s="1"/>
    </row>
    <row r="870">
      <c r="I870" s="1"/>
    </row>
    <row r="871">
      <c r="I871" s="1"/>
    </row>
    <row r="872">
      <c r="I872" s="1"/>
    </row>
    <row r="873">
      <c r="I873" s="1"/>
    </row>
    <row r="874">
      <c r="I874" s="1"/>
    </row>
    <row r="875">
      <c r="I875" s="1"/>
    </row>
    <row r="876">
      <c r="I876" s="1"/>
    </row>
    <row r="877">
      <c r="I877" s="1"/>
    </row>
    <row r="878">
      <c r="I878" s="1"/>
    </row>
    <row r="879">
      <c r="I879" s="1"/>
    </row>
    <row r="880">
      <c r="I880" s="1"/>
    </row>
    <row r="881">
      <c r="I881" s="1"/>
    </row>
    <row r="882">
      <c r="I882" s="1"/>
    </row>
    <row r="883">
      <c r="I883" s="1"/>
    </row>
    <row r="884">
      <c r="I884" s="1"/>
    </row>
    <row r="885">
      <c r="I885" s="1"/>
    </row>
    <row r="886">
      <c r="I886" s="1"/>
    </row>
    <row r="887">
      <c r="I887" s="1"/>
    </row>
    <row r="888">
      <c r="I888" s="1"/>
    </row>
    <row r="889">
      <c r="I889" s="1"/>
    </row>
    <row r="890">
      <c r="I890" s="1"/>
    </row>
    <row r="891">
      <c r="I891" s="1"/>
    </row>
    <row r="892">
      <c r="I892" s="1"/>
    </row>
    <row r="893">
      <c r="I893" s="1"/>
    </row>
    <row r="894">
      <c r="I894" s="1"/>
    </row>
    <row r="895">
      <c r="I895" s="1"/>
    </row>
    <row r="896">
      <c r="I896" s="1"/>
    </row>
    <row r="897">
      <c r="I897" s="1"/>
    </row>
    <row r="898">
      <c r="I898" s="1"/>
    </row>
    <row r="899">
      <c r="I899" s="1"/>
    </row>
    <row r="900">
      <c r="I900" s="1"/>
    </row>
    <row r="901">
      <c r="I901" s="1"/>
    </row>
    <row r="902">
      <c r="I902" s="1"/>
    </row>
    <row r="903">
      <c r="I903" s="1"/>
    </row>
    <row r="904">
      <c r="I904" s="1"/>
    </row>
    <row r="905">
      <c r="I905" s="1"/>
    </row>
    <row r="906">
      <c r="I906" s="1"/>
    </row>
    <row r="907">
      <c r="I907" s="1"/>
    </row>
    <row r="908">
      <c r="I908" s="1"/>
    </row>
    <row r="909">
      <c r="I909" s="1"/>
    </row>
    <row r="910">
      <c r="I910" s="1"/>
    </row>
    <row r="911">
      <c r="I911" s="1"/>
    </row>
    <row r="912">
      <c r="I912" s="1"/>
    </row>
    <row r="913">
      <c r="I913" s="1"/>
    </row>
    <row r="914">
      <c r="I914" s="1"/>
    </row>
    <row r="915">
      <c r="I915" s="1"/>
    </row>
    <row r="916">
      <c r="I916" s="1"/>
    </row>
    <row r="917">
      <c r="I917" s="1"/>
    </row>
    <row r="918">
      <c r="I918" s="1"/>
    </row>
    <row r="919">
      <c r="I919" s="1"/>
    </row>
    <row r="920">
      <c r="I920" s="1"/>
    </row>
    <row r="921">
      <c r="I921" s="1"/>
    </row>
    <row r="922">
      <c r="I922" s="1"/>
    </row>
    <row r="923">
      <c r="I923" s="1"/>
    </row>
    <row r="924">
      <c r="I924" s="1"/>
    </row>
    <row r="925">
      <c r="I925" s="1"/>
    </row>
    <row r="926">
      <c r="I926" s="1"/>
    </row>
    <row r="927">
      <c r="I927" s="1"/>
    </row>
    <row r="928">
      <c r="I928" s="1"/>
    </row>
    <row r="929">
      <c r="I929" s="1"/>
    </row>
    <row r="930">
      <c r="I930" s="1"/>
    </row>
    <row r="931">
      <c r="I931" s="1"/>
    </row>
    <row r="932">
      <c r="I932" s="1"/>
    </row>
    <row r="933">
      <c r="I933" s="1"/>
    </row>
    <row r="934">
      <c r="I934" s="1"/>
    </row>
    <row r="935">
      <c r="I935" s="1"/>
    </row>
    <row r="936">
      <c r="I936" s="1"/>
    </row>
    <row r="937">
      <c r="I937" s="1"/>
    </row>
    <row r="938">
      <c r="I938" s="1"/>
    </row>
    <row r="939">
      <c r="I939" s="1"/>
    </row>
    <row r="940">
      <c r="I940" s="1"/>
    </row>
    <row r="941">
      <c r="I941" s="1"/>
    </row>
    <row r="942">
      <c r="I942" s="1"/>
    </row>
    <row r="943">
      <c r="I943" s="1"/>
    </row>
    <row r="944">
      <c r="I944" s="1"/>
    </row>
    <row r="945">
      <c r="I945" s="1"/>
    </row>
    <row r="946">
      <c r="I946" s="1"/>
    </row>
    <row r="947">
      <c r="I947" s="1"/>
    </row>
    <row r="948">
      <c r="I948" s="1"/>
    </row>
    <row r="949">
      <c r="I949" s="1"/>
    </row>
    <row r="950">
      <c r="I950" s="1"/>
    </row>
    <row r="951">
      <c r="I951" s="1"/>
    </row>
    <row r="952">
      <c r="I952" s="1"/>
    </row>
    <row r="953">
      <c r="I953" s="1"/>
    </row>
    <row r="954">
      <c r="I954" s="1"/>
    </row>
    <row r="955">
      <c r="I955" s="1"/>
    </row>
    <row r="956">
      <c r="I956" s="1"/>
    </row>
    <row r="957">
      <c r="I957" s="1"/>
    </row>
    <row r="958">
      <c r="I958" s="1"/>
    </row>
    <row r="959">
      <c r="I959" s="1"/>
    </row>
    <row r="960">
      <c r="I960" s="1"/>
    </row>
    <row r="961">
      <c r="I961" s="1"/>
    </row>
    <row r="962">
      <c r="I962" s="1"/>
    </row>
    <row r="963">
      <c r="I963" s="1"/>
    </row>
    <row r="964">
      <c r="I964" s="1"/>
    </row>
    <row r="965">
      <c r="I965" s="1"/>
    </row>
    <row r="966">
      <c r="I966" s="1"/>
    </row>
    <row r="967">
      <c r="I967" s="1"/>
    </row>
    <row r="968">
      <c r="I968" s="1"/>
    </row>
    <row r="969">
      <c r="I969" s="1"/>
    </row>
    <row r="970">
      <c r="I970" s="1"/>
    </row>
    <row r="971">
      <c r="I971" s="1"/>
    </row>
    <row r="972">
      <c r="I972" s="1"/>
    </row>
    <row r="973">
      <c r="I973" s="1"/>
    </row>
    <row r="974">
      <c r="I974" s="1"/>
    </row>
    <row r="975">
      <c r="I975" s="1"/>
    </row>
    <row r="976">
      <c r="I976" s="1"/>
    </row>
    <row r="977">
      <c r="I977" s="1"/>
    </row>
    <row r="978">
      <c r="I978" s="1"/>
    </row>
    <row r="979">
      <c r="I979" s="1"/>
    </row>
    <row r="980">
      <c r="I980" s="1"/>
    </row>
    <row r="981">
      <c r="I981" s="1"/>
    </row>
    <row r="982">
      <c r="I982" s="1"/>
    </row>
    <row r="983">
      <c r="I983" s="1"/>
    </row>
    <row r="984">
      <c r="I984" s="1"/>
    </row>
    <row r="985">
      <c r="I985" s="1"/>
    </row>
    <row r="986">
      <c r="I986" s="1"/>
    </row>
    <row r="987">
      <c r="I987" s="1"/>
    </row>
    <row r="988">
      <c r="I988" s="1"/>
    </row>
    <row r="989">
      <c r="I989" s="1"/>
    </row>
    <row r="990">
      <c r="I990" s="1"/>
    </row>
    <row r="991">
      <c r="I991" s="1"/>
    </row>
    <row r="992">
      <c r="I992" s="1"/>
    </row>
    <row r="993">
      <c r="I993" s="1"/>
    </row>
    <row r="994">
      <c r="I994" s="1"/>
    </row>
    <row r="995">
      <c r="I995" s="1"/>
    </row>
    <row r="996">
      <c r="I996" s="1"/>
    </row>
    <row r="997">
      <c r="I997" s="1"/>
    </row>
    <row r="998">
      <c r="I998" s="1"/>
    </row>
    <row r="999">
      <c r="I999" s="1"/>
    </row>
    <row r="1000">
      <c r="I1000" s="1"/>
    </row>
    <row r="1001">
      <c r="I1001" s="1"/>
    </row>
    <row r="1002">
      <c r="I1002" s="1"/>
    </row>
    <row r="1003">
      <c r="I1003" s="1"/>
    </row>
  </sheetData>
  <hyperlinks>
    <hyperlink r:id="rId1" ref="E2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3" width="16.25"/>
    <col customWidth="1" min="4" max="4" width="24.25"/>
    <col customWidth="1" min="6" max="7" width="18.38"/>
    <col customWidth="1" min="8" max="8" width="17.5"/>
    <col customWidth="1" min="9" max="9" width="27.0"/>
    <col customWidth="1" min="10" max="10" width="35.75"/>
    <col customWidth="1" min="11" max="11" width="18.0"/>
    <col customWidth="1" min="12" max="12" width="13.5"/>
    <col customWidth="1" min="13" max="13" width="16.13"/>
    <col customWidth="1" min="14" max="14" width="28.0"/>
    <col customWidth="1" min="15" max="15" width="19.63"/>
    <col customWidth="1" min="16" max="16" width="19.5"/>
    <col customWidth="1" min="17" max="17" width="14.75"/>
    <col customWidth="1" min="18" max="18" width="19.63"/>
    <col customWidth="1" min="19" max="19" width="19.5"/>
    <col customWidth="1" min="20" max="21" width="20.5"/>
    <col customWidth="1" min="23" max="23" width="26.13"/>
  </cols>
  <sheetData>
    <row r="1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4" t="s">
        <v>11</v>
      </c>
      <c r="M1" s="24" t="s">
        <v>12</v>
      </c>
      <c r="N1" s="24" t="s">
        <v>13</v>
      </c>
      <c r="O1" s="24" t="s">
        <v>14</v>
      </c>
      <c r="P1" s="24" t="s">
        <v>15</v>
      </c>
      <c r="Q1" s="24" t="s">
        <v>16</v>
      </c>
      <c r="R1" s="24" t="s">
        <v>17</v>
      </c>
      <c r="S1" s="24" t="s">
        <v>18</v>
      </c>
      <c r="T1" s="8" t="s">
        <v>19</v>
      </c>
      <c r="U1" s="8" t="s">
        <v>20</v>
      </c>
      <c r="V1" s="24"/>
      <c r="W1" s="24"/>
      <c r="X1" s="24"/>
      <c r="Y1" s="24"/>
      <c r="Z1" s="24"/>
      <c r="AA1" s="24"/>
      <c r="AB1" s="24"/>
    </row>
    <row r="2">
      <c r="A2" s="24" t="s">
        <v>21</v>
      </c>
      <c r="B2" s="25">
        <v>179165.0</v>
      </c>
      <c r="C2" s="24">
        <f>(log(Sheet1!C2)-log(min(Sheet1!$C$2:$C$104)))/(log(max(Sheet1!$C$2:$C$104))-log(min(Sheet1!$C$2:$C$104)))</f>
        <v>0.7107547595</v>
      </c>
      <c r="D2" s="24">
        <v>0.6</v>
      </c>
      <c r="E2" s="26">
        <v>0.582</v>
      </c>
      <c r="F2" s="24">
        <v>0.564516</v>
      </c>
      <c r="G2" s="24">
        <v>0.251</v>
      </c>
      <c r="H2" s="24">
        <f>(log(Sheet1!H2)-log(min(Sheet1!$H$2:$H$104)))/(log(max(Sheet1!$H$2:$H$104))-log(min(Sheet1!$H$2:$H$104)))</f>
        <v>0.4966874871</v>
      </c>
      <c r="I2" s="24">
        <f>(log(Sheet1!I2)-log(min(Sheet1!I$2:I$104)))/(log(max(Sheet1!I$2:I$104))-log(min(Sheet1!I$2:I$104)))</f>
        <v>0.6384367405</v>
      </c>
      <c r="J2" s="24">
        <f>(log(Sheet1!J2)-log(min(Sheet1!J$2:J$104)))/(log(max(Sheet1!J$2:J$104))-log(min(Sheet1!J$2:J$104)))</f>
        <v>0.5399618052</v>
      </c>
      <c r="K2" s="24">
        <f>(log(Sheet1!K2)-log(min(Sheet1!K$2:K$104)))/(log(max(Sheet1!K$2:K$104))-log(min(Sheet1!K$2:K$104)))</f>
        <v>0.6769179299</v>
      </c>
      <c r="L2" s="24">
        <f>(log(Sheet1!L2)-log(min(Sheet1!L$2:L$104)))/(log(max(Sheet1!L$2:L$104))-log(min(Sheet1!L$2:L$104)))</f>
        <v>0.4806836149</v>
      </c>
      <c r="M2" s="24">
        <f>(log(Sheet1!M2)-log(min(Sheet1!M$2:M$104)))/(log(max(Sheet1!M$2:M$104))-log(min(Sheet1!M$2:M$104)))</f>
        <v>0.8154781746</v>
      </c>
      <c r="N2" s="24">
        <f>(log(Sheet1!N2)-log(min(Sheet1!N$2:N$104)))/(log(max(Sheet1!N$2:N$104))-log(min(Sheet1!N$2:N$104)))</f>
        <v>0.7510363582</v>
      </c>
      <c r="O2" s="24">
        <f>(log(Sheet1!O2)-log(min(Sheet1!O$2:O$104)))/(log(max(Sheet1!O$2:O$104))-log(min(Sheet1!O$2:O$104)))</f>
        <v>0.44016491</v>
      </c>
      <c r="P2" s="24">
        <f>(log(Sheet1!P2)-log(min(Sheet1!P$2:P$104)))/(log(max(Sheet1!P$2:P$104))-log(min(Sheet1!P$2:P$104)))</f>
        <v>0.3773642839</v>
      </c>
      <c r="Q2" s="24">
        <f>(log(Sheet1!Q2)-log(min(Sheet1!Q$2:Q$104)))/(log(max(Sheet1!Q$2:Q$104))-log(min(Sheet1!Q$2:Q$104)))</f>
        <v>0.3800317182</v>
      </c>
      <c r="R2" s="24">
        <f>(log(Sheet1!R2)-log(min(Sheet1!R$2:R$104)))/(log(max(Sheet1!R$2:R$104))-log(min(Sheet1!R$2:R$104)))</f>
        <v>0.7437867782</v>
      </c>
      <c r="S2" s="24">
        <f>(log(Sheet1!S2)-log(min(Sheet1!S$2:S$104)))/(log(max(Sheet1!S$2:S$104))-log(min(Sheet1!S$2:S$104)))</f>
        <v>0.7410867155</v>
      </c>
      <c r="T2" s="24">
        <f>(log(Sheet1!T2)-log(min(Sheet1!T$2:T$104)))/(log(max(Sheet1!T$2:T$104))-log(min(Sheet1!T$2:T$104)))</f>
        <v>0.2790026841</v>
      </c>
      <c r="U2" s="24">
        <f>(log(Sheet1!U2)-log(min(Sheet1!U$2:U$104)))/(log(max(Sheet1!U$2:U$104))-log(min(Sheet1!U$2:U$104)))</f>
        <v>0.4012192712</v>
      </c>
      <c r="V2" s="24"/>
      <c r="W2" s="24"/>
      <c r="X2" s="24"/>
      <c r="Y2" s="24"/>
      <c r="Z2" s="24"/>
      <c r="AA2" s="24"/>
      <c r="AB2" s="24"/>
    </row>
    <row r="3">
      <c r="A3" s="24" t="s">
        <v>24</v>
      </c>
      <c r="B3" s="25">
        <v>36473.0</v>
      </c>
      <c r="C3" s="24">
        <f>(log(Sheet1!C3)-log(min(Sheet1!$C$2:$C$104)))/(log(max(Sheet1!$C$2:$C$104))-log(min(Sheet1!$C$2:$C$104)))</f>
        <v>0.5122082844</v>
      </c>
      <c r="D3" s="24">
        <v>0.4</v>
      </c>
      <c r="E3" s="24">
        <v>0.275</v>
      </c>
      <c r="F3" s="24">
        <v>0.983871</v>
      </c>
      <c r="G3" s="24">
        <v>0.234</v>
      </c>
      <c r="H3" s="24">
        <f>(log(Sheet1!H3)-log(min(Sheet1!$H$2:$H$104)))/(log(max(Sheet1!$H$2:$H$104))-log(min(Sheet1!$H$2:$H$104)))</f>
        <v>0.5173895353</v>
      </c>
      <c r="I3" s="24">
        <f>(log(Sheet1!I3)-log(min(Sheet1!I$2:I$104)))/(log(max(Sheet1!I$2:I$104))-log(min(Sheet1!I$2:I$104)))</f>
        <v>0.4733678012</v>
      </c>
      <c r="J3" s="24">
        <f>(log(Sheet1!J3)-log(min(Sheet1!J$2:J$104)))/(log(max(Sheet1!J$2:J$104))-log(min(Sheet1!J$2:J$104)))</f>
        <v>0.203410958</v>
      </c>
      <c r="K3" s="24">
        <f>(log(Sheet1!K3)-log(min(Sheet1!K$2:K$104)))/(log(max(Sheet1!K$2:K$104))-log(min(Sheet1!K$2:K$104)))</f>
        <v>0.8392284331</v>
      </c>
      <c r="L3" s="24">
        <f>(log(Sheet1!L3)-log(min(Sheet1!L$2:L$104)))/(log(max(Sheet1!L$2:L$104))-log(min(Sheet1!L$2:L$104)))</f>
        <v>0.3610688258</v>
      </c>
      <c r="M3" s="24">
        <f>(log(Sheet1!M3)-log(min(Sheet1!M$2:M$104)))/(log(max(Sheet1!M$2:M$104))-log(min(Sheet1!M$2:M$104)))</f>
        <v>0.7768473552</v>
      </c>
      <c r="N3" s="24">
        <f>(log(Sheet1!N3)-log(min(Sheet1!N$2:N$104)))/(log(max(Sheet1!N$2:N$104))-log(min(Sheet1!N$2:N$104)))</f>
        <v>0.8015812933</v>
      </c>
      <c r="O3" s="24">
        <f>(log(Sheet1!O3)-log(min(Sheet1!O$2:O$104)))/(log(max(Sheet1!O$2:O$104))-log(min(Sheet1!O$2:O$104)))</f>
        <v>0.369695588</v>
      </c>
      <c r="P3" s="24">
        <f>(log(Sheet1!P3)-log(min(Sheet1!P$2:P$104)))/(log(max(Sheet1!P$2:P$104))-log(min(Sheet1!P$2:P$104)))</f>
        <v>0.7883938008</v>
      </c>
      <c r="Q3" s="24">
        <f>(log(Sheet1!Q3)-log(min(Sheet1!Q$2:Q$104)))/(log(max(Sheet1!Q$2:Q$104))-log(min(Sheet1!Q$2:Q$104)))</f>
        <v>0.397419718</v>
      </c>
      <c r="R3" s="24">
        <f>(log(Sheet1!R3)-log(min(Sheet1!R$2:R$104)))/(log(max(Sheet1!R$2:R$104))-log(min(Sheet1!R$2:R$104)))</f>
        <v>0.4624602896</v>
      </c>
      <c r="S3" s="24">
        <f>(log(Sheet1!S3)-log(min(Sheet1!S$2:S$104)))/(log(max(Sheet1!S$2:S$104))-log(min(Sheet1!S$2:S$104)))</f>
        <v>0.5725680101</v>
      </c>
      <c r="T3" s="24">
        <f>(log(Sheet1!T3)-log(min(Sheet1!T$2:T$104)))/(log(max(Sheet1!T$2:T$104))-log(min(Sheet1!T$2:T$104)))</f>
        <v>0.188733079</v>
      </c>
      <c r="U3" s="24">
        <f>(log(Sheet1!U3)-log(min(Sheet1!U$2:U$104)))/(log(max(Sheet1!U$2:U$104))-log(min(Sheet1!U$2:U$104)))</f>
        <v>0.2725177288</v>
      </c>
      <c r="V3" s="24"/>
      <c r="W3" s="24"/>
      <c r="X3" s="24"/>
      <c r="Y3" s="24"/>
      <c r="Z3" s="24"/>
      <c r="AA3" s="24"/>
      <c r="AB3" s="24"/>
    </row>
    <row r="4">
      <c r="A4" s="24" t="s">
        <v>27</v>
      </c>
      <c r="B4" s="25">
        <v>11342.0</v>
      </c>
      <c r="C4" s="24">
        <f>(log(Sheet1!C4)-log(min(Sheet1!$C$2:$C$104)))/(log(max(Sheet1!$C$2:$C$104))-log(min(Sheet1!$C$2:$C$104)))</f>
        <v>0.330558847</v>
      </c>
      <c r="D4" s="24">
        <v>1.0</v>
      </c>
      <c r="E4" s="24">
        <v>0.274</v>
      </c>
      <c r="F4" s="24">
        <v>0.919355</v>
      </c>
      <c r="G4" s="24">
        <v>0.157</v>
      </c>
      <c r="H4" s="24">
        <f>(log(Sheet1!H4)-log(min(Sheet1!$H$2:$H$104)))/(log(max(Sheet1!$H$2:$H$104))-log(min(Sheet1!$H$2:$H$104)))</f>
        <v>0.657602671</v>
      </c>
      <c r="I4" s="24">
        <f>(log(Sheet1!I4)-log(min(Sheet1!I$2:I$104)))/(log(max(Sheet1!I$2:I$104))-log(min(Sheet1!I$2:I$104)))</f>
        <v>0.3265148483</v>
      </c>
      <c r="J4" s="24">
        <f>(log(Sheet1!J4)-log(min(Sheet1!J$2:J$104)))/(log(max(Sheet1!J$2:J$104))-log(min(Sheet1!J$2:J$104)))</f>
        <v>0.4283608821</v>
      </c>
      <c r="K4" s="24">
        <f>(log(Sheet1!K4)-log(min(Sheet1!K$2:K$104)))/(log(max(Sheet1!K$2:K$104))-log(min(Sheet1!K$2:K$104)))</f>
        <v>0.9207063305</v>
      </c>
      <c r="L4" s="24">
        <f>(log(Sheet1!L4)-log(min(Sheet1!L$2:L$104)))/(log(max(Sheet1!L$2:L$104))-log(min(Sheet1!L$2:L$104)))</f>
        <v>0.2616417343</v>
      </c>
      <c r="M4" s="24">
        <f>(log(Sheet1!M4)-log(min(Sheet1!M$2:M$104)))/(log(max(Sheet1!M$2:M$104))-log(min(Sheet1!M$2:M$104)))</f>
        <v>0.8049046566</v>
      </c>
      <c r="N4" s="24">
        <f>(log(Sheet1!N4)-log(min(Sheet1!N$2:N$104)))/(log(max(Sheet1!N$2:N$104))-log(min(Sheet1!N$2:N$104)))</f>
        <v>0.566382242</v>
      </c>
      <c r="O4" s="24">
        <f>(log(Sheet1!O4)-log(min(Sheet1!O$2:O$104)))/(log(max(Sheet1!O$2:O$104))-log(min(Sheet1!O$2:O$104)))</f>
        <v>0.4053707281</v>
      </c>
      <c r="P4" s="24">
        <f>(log(Sheet1!P4)-log(min(Sheet1!P$2:P$104)))/(log(max(Sheet1!P$2:P$104))-log(min(Sheet1!P$2:P$104)))</f>
        <v>0.7905933711</v>
      </c>
      <c r="Q4" s="24">
        <f>(log(Sheet1!Q4)-log(min(Sheet1!Q$2:Q$104)))/(log(max(Sheet1!Q$2:Q$104))-log(min(Sheet1!Q$2:Q$104)))</f>
        <v>0.4088918811</v>
      </c>
      <c r="R4" s="24">
        <f>(log(Sheet1!R4)-log(min(Sheet1!R$2:R$104)))/(log(max(Sheet1!R$2:R$104))-log(min(Sheet1!R$2:R$104)))</f>
        <v>0.6104573811</v>
      </c>
      <c r="S4" s="24">
        <f>(log(Sheet1!S4)-log(min(Sheet1!S$2:S$104)))/(log(max(Sheet1!S$2:S$104))-log(min(Sheet1!S$2:S$104)))</f>
        <v>0.6883082784</v>
      </c>
      <c r="T4" s="24">
        <f>(log(Sheet1!T4)-log(min(Sheet1!T$2:T$104)))/(log(max(Sheet1!T$2:T$104))-log(min(Sheet1!T$2:T$104)))</f>
        <v>0.3262893037</v>
      </c>
      <c r="U4" s="24">
        <f>(log(Sheet1!U4)-log(min(Sheet1!U$2:U$104)))/(log(max(Sheet1!U$2:U$104))-log(min(Sheet1!U$2:U$104)))</f>
        <v>0.522461417</v>
      </c>
      <c r="V4" s="24"/>
      <c r="W4" s="24"/>
      <c r="X4" s="24"/>
      <c r="Y4" s="24"/>
      <c r="Z4" s="24"/>
      <c r="AA4" s="24"/>
      <c r="AB4" s="24"/>
    </row>
    <row r="5">
      <c r="A5" s="24" t="s">
        <v>30</v>
      </c>
      <c r="B5" s="25">
        <v>21897.0</v>
      </c>
      <c r="C5" s="24">
        <f>(log(Sheet1!C5)-log(min(Sheet1!$C$2:$C$104)))/(log(max(Sheet1!$C$2:$C$104))-log(min(Sheet1!$C$2:$C$104)))</f>
        <v>0.2943452629</v>
      </c>
      <c r="D5" s="24">
        <v>0.2</v>
      </c>
      <c r="E5" s="24">
        <v>0.569</v>
      </c>
      <c r="F5" s="24">
        <v>0.5</v>
      </c>
      <c r="G5" s="24">
        <v>0.33</v>
      </c>
      <c r="H5" s="24">
        <f>(log(Sheet1!H5)-log(min(Sheet1!$H$2:$H$104)))/(log(max(Sheet1!$H$2:$H$104))-log(min(Sheet1!$H$2:$H$104)))</f>
        <v>0.1598640358</v>
      </c>
      <c r="I5" s="24">
        <f>(log(Sheet1!I5)-log(min(Sheet1!I$2:I$104)))/(log(max(Sheet1!I$2:I$104))-log(min(Sheet1!I$2:I$104)))</f>
        <v>0.2846037932</v>
      </c>
      <c r="J5" s="24">
        <f>(log(Sheet1!J5)-log(min(Sheet1!J$2:J$104)))/(log(max(Sheet1!J$2:J$104))-log(min(Sheet1!J$2:J$104)))</f>
        <v>0.005283697023</v>
      </c>
      <c r="K5" s="24">
        <f>(log(Sheet1!K5)-log(min(Sheet1!K$2:K$104)))/(log(max(Sheet1!K$2:K$104))-log(min(Sheet1!K$2:K$104)))</f>
        <v>0.6054738091</v>
      </c>
      <c r="L5" s="24">
        <f>(log(Sheet1!L5)-log(min(Sheet1!L$2:L$104)))/(log(max(Sheet1!L$2:L$104))-log(min(Sheet1!L$2:L$104)))</f>
        <v>0.4089101241</v>
      </c>
      <c r="M5" s="24">
        <f>(log(Sheet1!M5)-log(min(Sheet1!M$2:M$104)))/(log(max(Sheet1!M$2:M$104))-log(min(Sheet1!M$2:M$104)))</f>
        <v>0.8420465547</v>
      </c>
      <c r="N5" s="24">
        <f>(log(Sheet1!N5)-log(min(Sheet1!N$2:N$104)))/(log(max(Sheet1!N$2:N$104))-log(min(Sheet1!N$2:N$104)))</f>
        <v>0.7681088313</v>
      </c>
      <c r="O5" s="24">
        <f>(log(Sheet1!O5)-log(min(Sheet1!O$2:O$104)))/(log(max(Sheet1!O$2:O$104))-log(min(Sheet1!O$2:O$104)))</f>
        <v>0.6622787155</v>
      </c>
      <c r="P5" s="24">
        <f>(log(Sheet1!P5)-log(min(Sheet1!P$2:P$104)))/(log(max(Sheet1!P$2:P$104))-log(min(Sheet1!P$2:P$104)))</f>
        <v>0.8404110903</v>
      </c>
      <c r="Q5" s="24">
        <f>(log(Sheet1!Q5)-log(min(Sheet1!Q$2:Q$104)))/(log(max(Sheet1!Q$2:Q$104))-log(min(Sheet1!Q$2:Q$104)))</f>
        <v>0.6204217621</v>
      </c>
      <c r="R5" s="24">
        <f>(log(Sheet1!R5)-log(min(Sheet1!R$2:R$104)))/(log(max(Sheet1!R$2:R$104))-log(min(Sheet1!R$2:R$104)))</f>
        <v>0.6919032612</v>
      </c>
      <c r="S5" s="24">
        <f>(log(Sheet1!S5)-log(min(Sheet1!S$2:S$104)))/(log(max(Sheet1!S$2:S$104))-log(min(Sheet1!S$2:S$104)))</f>
        <v>0.9794741809</v>
      </c>
      <c r="T5" s="24">
        <f>(log(Sheet1!T5)-log(min(Sheet1!T$2:T$104)))/(log(max(Sheet1!T$2:T$104))-log(min(Sheet1!T$2:T$104)))</f>
        <v>0.2580379831</v>
      </c>
      <c r="U5" s="24">
        <f>(log(Sheet1!U5)-log(min(Sheet1!U$2:U$104)))/(log(max(Sheet1!U$2:U$104))-log(min(Sheet1!U$2:U$104)))</f>
        <v>0.2190988673</v>
      </c>
      <c r="V5" s="24"/>
      <c r="W5" s="24"/>
      <c r="X5" s="24"/>
      <c r="Y5" s="24"/>
      <c r="Z5" s="24"/>
      <c r="AA5" s="24"/>
      <c r="AB5" s="24"/>
    </row>
    <row r="6">
      <c r="A6" s="24" t="s">
        <v>33</v>
      </c>
      <c r="B6" s="25">
        <v>27063.0</v>
      </c>
      <c r="C6" s="24">
        <f>(log(Sheet1!C6)-log(min(Sheet1!$C$2:$C$104)))/(log(max(Sheet1!$C$2:$C$104))-log(min(Sheet1!$C$2:$C$104)))</f>
        <v>0.3703357008</v>
      </c>
      <c r="D6" s="24">
        <v>1.0</v>
      </c>
      <c r="E6" s="24">
        <v>0.179</v>
      </c>
      <c r="F6" s="24">
        <v>0.870968</v>
      </c>
      <c r="G6" s="24">
        <v>0.154</v>
      </c>
      <c r="H6" s="24">
        <f>(log(Sheet1!H6)-log(min(Sheet1!$H$2:$H$104)))/(log(max(Sheet1!$H$2:$H$104))-log(min(Sheet1!$H$2:$H$104)))</f>
        <v>0.7574537224</v>
      </c>
      <c r="I6" s="24">
        <f>(log(Sheet1!I6)-log(min(Sheet1!I$2:I$104)))/(log(max(Sheet1!I$2:I$104))-log(min(Sheet1!I$2:I$104)))</f>
        <v>0.5821354994</v>
      </c>
      <c r="J6" s="24">
        <f>(log(Sheet1!J6)-log(min(Sheet1!J$2:J$104)))/(log(max(Sheet1!J$2:J$104))-log(min(Sheet1!J$2:J$104)))</f>
        <v>0.4182141204</v>
      </c>
      <c r="K6" s="24">
        <f>(log(Sheet1!K6)-log(min(Sheet1!K$2:K$104)))/(log(max(Sheet1!K$2:K$104))-log(min(Sheet1!K$2:K$104)))</f>
        <v>0.9582018865</v>
      </c>
      <c r="L6" s="24">
        <f>(log(Sheet1!L6)-log(min(Sheet1!L$2:L$104)))/(log(max(Sheet1!L$2:L$104))-log(min(Sheet1!L$2:L$104)))</f>
        <v>0.3437620286</v>
      </c>
      <c r="M6" s="24">
        <f>(log(Sheet1!M6)-log(min(Sheet1!M$2:M$104)))/(log(max(Sheet1!M$2:M$104))-log(min(Sheet1!M$2:M$104)))</f>
        <v>0.8417495368</v>
      </c>
      <c r="N6" s="24">
        <f>(log(Sheet1!N6)-log(min(Sheet1!N$2:N$104)))/(log(max(Sheet1!N$2:N$104))-log(min(Sheet1!N$2:N$104)))</f>
        <v>0.462920338</v>
      </c>
      <c r="O6" s="24">
        <f>(log(Sheet1!O6)-log(min(Sheet1!O$2:O$104)))/(log(max(Sheet1!O$2:O$104))-log(min(Sheet1!O$2:O$104)))</f>
        <v>0.2172126083</v>
      </c>
      <c r="P6" s="24">
        <f>(log(Sheet1!P6)-log(min(Sheet1!P$2:P$104)))/(log(max(Sheet1!P$2:P$104))-log(min(Sheet1!P$2:P$104)))</f>
        <v>0.628052589</v>
      </c>
      <c r="Q6" s="24">
        <f>(log(Sheet1!Q6)-log(min(Sheet1!Q$2:Q$104)))/(log(max(Sheet1!Q$2:Q$104))-log(min(Sheet1!Q$2:Q$104)))</f>
        <v>0.4866471401</v>
      </c>
      <c r="R6" s="24">
        <f>(log(Sheet1!R6)-log(min(Sheet1!R$2:R$104)))/(log(max(Sheet1!R$2:R$104))-log(min(Sheet1!R$2:R$104)))</f>
        <v>0.5364588354</v>
      </c>
      <c r="S6" s="24">
        <f>(log(Sheet1!S6)-log(min(Sheet1!S$2:S$104)))/(log(max(Sheet1!S$2:S$104))-log(min(Sheet1!S$2:S$104)))</f>
        <v>0.5673592974</v>
      </c>
      <c r="T6" s="24">
        <f>(log(Sheet1!T6)-log(min(Sheet1!T$2:T$104)))/(log(max(Sheet1!T$2:T$104))-log(min(Sheet1!T$2:T$104)))</f>
        <v>0.3098024986</v>
      </c>
      <c r="U6" s="24">
        <f>(log(Sheet1!U6)-log(min(Sheet1!U$2:U$104)))/(log(max(Sheet1!U$2:U$104))-log(min(Sheet1!U$2:U$104)))</f>
        <v>0.4157532947</v>
      </c>
      <c r="V6" s="24"/>
      <c r="W6" s="24"/>
      <c r="X6" s="24"/>
      <c r="Y6" s="24"/>
      <c r="Z6" s="24"/>
      <c r="AA6" s="24"/>
      <c r="AB6" s="24"/>
    </row>
    <row r="7">
      <c r="A7" s="24" t="s">
        <v>35</v>
      </c>
      <c r="B7" s="25">
        <v>17561.0</v>
      </c>
      <c r="C7" s="24">
        <f>(log(Sheet1!C7)-log(min(Sheet1!$C$2:$C$104)))/(log(max(Sheet1!$C$2:$C$104))-log(min(Sheet1!$C$2:$C$104)))</f>
        <v>0.3929045394</v>
      </c>
      <c r="D7" s="24">
        <v>1.0</v>
      </c>
      <c r="E7" s="24">
        <v>0.232</v>
      </c>
      <c r="F7" s="24">
        <v>0.935484</v>
      </c>
      <c r="G7" s="24">
        <v>0.188</v>
      </c>
      <c r="H7" s="24">
        <f>(log(Sheet1!H7)-log(min(Sheet1!$H$2:$H$104)))/(log(max(Sheet1!$H$2:$H$104))-log(min(Sheet1!$H$2:$H$104)))</f>
        <v>0.7092405905</v>
      </c>
      <c r="I7" s="24">
        <f>(log(Sheet1!I7)-log(min(Sheet1!I$2:I$104)))/(log(max(Sheet1!I$2:I$104))-log(min(Sheet1!I$2:I$104)))</f>
        <v>0.5194560954</v>
      </c>
      <c r="J7" s="24">
        <f>(log(Sheet1!J7)-log(min(Sheet1!J$2:J$104)))/(log(max(Sheet1!J$2:J$104))-log(min(Sheet1!J$2:J$104)))</f>
        <v>0.4052727792</v>
      </c>
      <c r="K7" s="24">
        <f>(log(Sheet1!K7)-log(min(Sheet1!K$2:K$104)))/(log(max(Sheet1!K$2:K$104))-log(min(Sheet1!K$2:K$104)))</f>
        <v>0.9872560706</v>
      </c>
      <c r="L7" s="24">
        <f>(log(Sheet1!L7)-log(min(Sheet1!L$2:L$104)))/(log(max(Sheet1!L$2:L$104))-log(min(Sheet1!L$2:L$104)))</f>
        <v>0</v>
      </c>
      <c r="M7" s="24">
        <f>(log(Sheet1!M7)-log(min(Sheet1!M$2:M$104)))/(log(max(Sheet1!M$2:M$104))-log(min(Sheet1!M$2:M$104)))</f>
        <v>0.6735327554</v>
      </c>
      <c r="N7" s="24">
        <f>(log(Sheet1!N7)-log(min(Sheet1!N$2:N$104)))/(log(max(Sheet1!N$2:N$104))-log(min(Sheet1!N$2:N$104)))</f>
        <v>0.4190580552</v>
      </c>
      <c r="O7" s="24">
        <f>(log(Sheet1!O7)-log(min(Sheet1!O$2:O$104)))/(log(max(Sheet1!O$2:O$104))-log(min(Sheet1!O$2:O$104)))</f>
        <v>0.2955156838</v>
      </c>
      <c r="P7" s="24">
        <f>(log(Sheet1!P7)-log(min(Sheet1!P$2:P$104)))/(log(max(Sheet1!P$2:P$104))-log(min(Sheet1!P$2:P$104)))</f>
        <v>0.7553043932</v>
      </c>
      <c r="Q7" s="24">
        <f>(log(Sheet1!Q7)-log(min(Sheet1!Q$2:Q$104)))/(log(max(Sheet1!Q$2:Q$104))-log(min(Sheet1!Q$2:Q$104)))</f>
        <v>0.2389530206</v>
      </c>
      <c r="R7" s="24">
        <f>(log(Sheet1!R7)-log(min(Sheet1!R$2:R$104)))/(log(max(Sheet1!R$2:R$104))-log(min(Sheet1!R$2:R$104)))</f>
        <v>0.5626529772</v>
      </c>
      <c r="S7" s="24">
        <f>(log(Sheet1!S7)-log(min(Sheet1!S$2:S$104)))/(log(max(Sheet1!S$2:S$104))-log(min(Sheet1!S$2:S$104)))</f>
        <v>0.5036241188</v>
      </c>
      <c r="T7" s="24">
        <f>(log(Sheet1!T7)-log(min(Sheet1!T$2:T$104)))/(log(max(Sheet1!T$2:T$104))-log(min(Sheet1!T$2:T$104)))</f>
        <v>0.2580379831</v>
      </c>
      <c r="U7" s="24">
        <f>(log(Sheet1!U7)-log(min(Sheet1!U$2:U$104)))/(log(max(Sheet1!U$2:U$104))-log(min(Sheet1!U$2:U$104)))</f>
        <v>0.475585939</v>
      </c>
      <c r="V7" s="24"/>
      <c r="W7" s="24"/>
      <c r="X7" s="24"/>
      <c r="Y7" s="24"/>
      <c r="Z7" s="24"/>
      <c r="AA7" s="24"/>
      <c r="AB7" s="24"/>
    </row>
    <row r="8">
      <c r="A8" s="24" t="s">
        <v>37</v>
      </c>
      <c r="B8" s="25">
        <v>44481.0</v>
      </c>
      <c r="C8" s="24">
        <f>(log(Sheet1!C8)-log(min(Sheet1!$C$2:$C$104)))/(log(max(Sheet1!$C$2:$C$104))-log(min(Sheet1!$C$2:$C$104)))</f>
        <v>0.3408037876</v>
      </c>
      <c r="D8" s="24">
        <v>0.8</v>
      </c>
      <c r="E8" s="24">
        <v>0.507</v>
      </c>
      <c r="F8" s="24">
        <v>0.741935</v>
      </c>
      <c r="G8" s="24">
        <v>0.449</v>
      </c>
      <c r="H8" s="24">
        <f>(log(Sheet1!H8)-log(min(Sheet1!$H$2:$H$104)))/(log(max(Sheet1!$H$2:$H$104))-log(min(Sheet1!$H$2:$H$104)))</f>
        <v>0.6241557003</v>
      </c>
      <c r="I8" s="24">
        <f>(log(Sheet1!I8)-log(min(Sheet1!I$2:I$104)))/(log(max(Sheet1!I$2:I$104))-log(min(Sheet1!I$2:I$104)))</f>
        <v>0.6159929608</v>
      </c>
      <c r="J8" s="24">
        <f>(log(Sheet1!J8)-log(min(Sheet1!J$2:J$104)))/(log(max(Sheet1!J$2:J$104))-log(min(Sheet1!J$2:J$104)))</f>
        <v>0.3701907674</v>
      </c>
      <c r="K8" s="24">
        <f>(log(Sheet1!K8)-log(min(Sheet1!K$2:K$104)))/(log(max(Sheet1!K$2:K$104))-log(min(Sheet1!K$2:K$104)))</f>
        <v>0.2270476558</v>
      </c>
      <c r="L8" s="24">
        <f>(log(Sheet1!L8)-log(min(Sheet1!L$2:L$104)))/(log(max(Sheet1!L$2:L$104))-log(min(Sheet1!L$2:L$104)))</f>
        <v>0.7569117285</v>
      </c>
      <c r="M8" s="24">
        <f>(log(Sheet1!M8)-log(min(Sheet1!M$2:M$104)))/(log(max(Sheet1!M$2:M$104))-log(min(Sheet1!M$2:M$104)))</f>
        <v>0.9060156198</v>
      </c>
      <c r="N8" s="24">
        <f>(log(Sheet1!N8)-log(min(Sheet1!N$2:N$104)))/(log(max(Sheet1!N$2:N$104))-log(min(Sheet1!N$2:N$104)))</f>
        <v>0.462920338</v>
      </c>
      <c r="O8" s="24">
        <f>(log(Sheet1!O8)-log(min(Sheet1!O$2:O$104)))/(log(max(Sheet1!O$2:O$104))-log(min(Sheet1!O$2:O$104)))</f>
        <v>0.369695588</v>
      </c>
      <c r="P8" s="24">
        <f>(log(Sheet1!P8)-log(min(Sheet1!P$2:P$104)))/(log(max(Sheet1!P$2:P$104))-log(min(Sheet1!P$2:P$104)))</f>
        <v>0.5847558923</v>
      </c>
      <c r="Q8" s="24">
        <f>(log(Sheet1!Q8)-log(min(Sheet1!Q$2:Q$104)))/(log(max(Sheet1!Q$2:Q$104))-log(min(Sheet1!Q$2:Q$104)))</f>
        <v>0.425924289</v>
      </c>
      <c r="R8" s="24">
        <f>(log(Sheet1!R8)-log(min(Sheet1!R$2:R$104)))/(log(max(Sheet1!R$2:R$104))-log(min(Sheet1!R$2:R$104)))</f>
        <v>0.4936963388</v>
      </c>
      <c r="S8" s="24">
        <f>(log(Sheet1!S8)-log(min(Sheet1!S$2:S$104)))/(log(max(Sheet1!S$2:S$104))-log(min(Sheet1!S$2:S$104)))</f>
        <v>0.792331082</v>
      </c>
      <c r="T8" s="24">
        <f>(log(Sheet1!T8)-log(min(Sheet1!T$2:T$104)))/(log(max(Sheet1!T$2:T$104))-log(min(Sheet1!T$2:T$104)))</f>
        <v>0.2980292884</v>
      </c>
      <c r="U8" s="24">
        <f>(log(Sheet1!U8)-log(min(Sheet1!U$2:U$104)))/(log(max(Sheet1!U$2:U$104))-log(min(Sheet1!U$2:U$104)))</f>
        <v>0.4228365692</v>
      </c>
      <c r="V8" s="24"/>
      <c r="W8" s="24"/>
      <c r="X8" s="24"/>
      <c r="Y8" s="24"/>
      <c r="Z8" s="24"/>
      <c r="AA8" s="24"/>
      <c r="AB8" s="24"/>
    </row>
    <row r="9">
      <c r="A9" s="24" t="s">
        <v>40</v>
      </c>
      <c r="B9" s="25">
        <v>16922.0</v>
      </c>
      <c r="C9" s="24">
        <f>(log(Sheet1!C9)-log(min(Sheet1!$C$2:$C$104)))/(log(max(Sheet1!$C$2:$C$104))-log(min(Sheet1!$C$2:$C$104)))</f>
        <v>0.2011164815</v>
      </c>
      <c r="D9" s="24">
        <v>1.0</v>
      </c>
      <c r="E9" s="24">
        <v>0.521</v>
      </c>
      <c r="F9" s="24">
        <v>0.33871</v>
      </c>
      <c r="G9" s="24">
        <v>0.279</v>
      </c>
      <c r="H9" s="24">
        <f>(log(Sheet1!H9)-log(min(Sheet1!$H$2:$H$104)))/(log(max(Sheet1!$H$2:$H$104))-log(min(Sheet1!$H$2:$H$104)))</f>
        <v>0.1952043116</v>
      </c>
      <c r="I9" s="24">
        <f>(log(Sheet1!I9)-log(min(Sheet1!I$2:I$104)))/(log(max(Sheet1!I$2:I$104))-log(min(Sheet1!I$2:I$104)))</f>
        <v>0.2604944712</v>
      </c>
      <c r="J9" s="24">
        <f>(log(Sheet1!J9)-log(min(Sheet1!J$2:J$104)))/(log(max(Sheet1!J$2:J$104))-log(min(Sheet1!J$2:J$104)))</f>
        <v>0.2864392193</v>
      </c>
      <c r="K9" s="24">
        <f>(log(Sheet1!K9)-log(min(Sheet1!K$2:K$104)))/(log(max(Sheet1!K$2:K$104))-log(min(Sheet1!K$2:K$104)))</f>
        <v>0.2965986203</v>
      </c>
      <c r="L9" s="24">
        <f>(log(Sheet1!L9)-log(min(Sheet1!L$2:L$104)))/(log(max(Sheet1!L$2:L$104))-log(min(Sheet1!L$2:L$104)))</f>
        <v>0.6309906862</v>
      </c>
      <c r="M9" s="24">
        <f>(log(Sheet1!M9)-log(min(Sheet1!M$2:M$104)))/(log(max(Sheet1!M$2:M$104))-log(min(Sheet1!M$2:M$104)))</f>
        <v>0.9246568256</v>
      </c>
      <c r="N9" s="24">
        <f>(log(Sheet1!N9)-log(min(Sheet1!N$2:N$104)))/(log(max(Sheet1!N$2:N$104))-log(min(Sheet1!N$2:N$104)))</f>
        <v>0.5053202691</v>
      </c>
      <c r="O9" s="24">
        <f>(log(Sheet1!O9)-log(min(Sheet1!O$2:O$104)))/(log(max(Sheet1!O$2:O$104))-log(min(Sheet1!O$2:O$104)))</f>
        <v>0.854101578</v>
      </c>
      <c r="P9" s="24">
        <f>(log(Sheet1!P9)-log(min(Sheet1!P$2:P$104)))/(log(max(Sheet1!P$2:P$104))-log(min(Sheet1!P$2:P$104)))</f>
        <v>0.8957221356</v>
      </c>
      <c r="Q9" s="24">
        <f>(log(Sheet1!Q9)-log(min(Sheet1!Q$2:Q$104)))/(log(max(Sheet1!Q$2:Q$104))-log(min(Sheet1!Q$2:Q$104)))</f>
        <v>0.4866471401</v>
      </c>
      <c r="R9" s="24">
        <f>(log(Sheet1!R9)-log(min(Sheet1!R$2:R$104)))/(log(max(Sheet1!R$2:R$104))-log(min(Sheet1!R$2:R$104)))</f>
        <v>0.3718933891</v>
      </c>
      <c r="S9" s="24">
        <f>(log(Sheet1!S9)-log(min(Sheet1!S$2:S$104)))/(log(max(Sheet1!S$2:S$104))-log(min(Sheet1!S$2:S$104)))</f>
        <v>1</v>
      </c>
      <c r="T9" s="24">
        <f>(log(Sheet1!T9)-log(min(Sheet1!T$2:T$104)))/(log(max(Sheet1!T$2:T$104))-log(min(Sheet1!T$2:T$104)))</f>
        <v>0.1987826382</v>
      </c>
      <c r="U9" s="24">
        <f>(log(Sheet1!U9)-log(min(Sheet1!U$2:U$104)))/(log(max(Sheet1!U$2:U$104))-log(min(Sheet1!U$2:U$104)))</f>
        <v>0.1708812069</v>
      </c>
      <c r="V9" s="24"/>
      <c r="W9" s="24"/>
      <c r="X9" s="24"/>
      <c r="Y9" s="24"/>
      <c r="Z9" s="24"/>
      <c r="AA9" s="24"/>
      <c r="AB9" s="24"/>
    </row>
    <row r="10">
      <c r="A10" s="24" t="s">
        <v>42</v>
      </c>
      <c r="B10" s="25">
        <v>29484.0</v>
      </c>
      <c r="C10" s="24">
        <f>(log(Sheet1!C10)-log(min(Sheet1!$C$2:$C$104)))/(log(max(Sheet1!$C$2:$C$104))-log(min(Sheet1!$C$2:$C$104)))</f>
        <v>0.2647115163</v>
      </c>
      <c r="D10" s="24">
        <v>1.0</v>
      </c>
      <c r="E10" s="24">
        <v>0.602</v>
      </c>
      <c r="F10" s="24">
        <v>0.645161</v>
      </c>
      <c r="G10" s="24">
        <v>0.248</v>
      </c>
      <c r="H10" s="24">
        <f>(log(Sheet1!H10)-log(min(Sheet1!$H$2:$H$104)))/(log(max(Sheet1!$H$2:$H$104))-log(min(Sheet1!$H$2:$H$104)))</f>
        <v>0.206876749</v>
      </c>
      <c r="I10" s="24">
        <f>(log(Sheet1!I10)-log(min(Sheet1!I$2:I$104)))/(log(max(Sheet1!I$2:I$104))-log(min(Sheet1!I$2:I$104)))</f>
        <v>0.6440318353</v>
      </c>
      <c r="J10" s="24">
        <f>(log(Sheet1!J10)-log(min(Sheet1!J$2:J$104)))/(log(max(Sheet1!J$2:J$104))-log(min(Sheet1!J$2:J$104)))</f>
        <v>0.3701907674</v>
      </c>
      <c r="K10" s="24">
        <f>(log(Sheet1!K10)-log(min(Sheet1!K$2:K$104)))/(log(max(Sheet1!K$2:K$104))-log(min(Sheet1!K$2:K$104)))</f>
        <v>0.3854177176</v>
      </c>
      <c r="L10" s="24">
        <f>(log(Sheet1!L10)-log(min(Sheet1!L$2:L$104)))/(log(max(Sheet1!L$2:L$104))-log(min(Sheet1!L$2:L$104)))</f>
        <v>0.4998420437</v>
      </c>
      <c r="M10" s="24">
        <f>(log(Sheet1!M10)-log(min(Sheet1!M$2:M$104)))/(log(max(Sheet1!M$2:M$104))-log(min(Sheet1!M$2:M$104)))</f>
        <v>0.9116722396</v>
      </c>
      <c r="N10" s="24">
        <f>(log(Sheet1!N10)-log(min(Sheet1!N$2:N$104)))/(log(max(Sheet1!N$2:N$104))-log(min(Sheet1!N$2:N$104)))</f>
        <v>0.5260017028</v>
      </c>
      <c r="O10" s="24">
        <f>(log(Sheet1!O10)-log(min(Sheet1!O$2:O$104)))/(log(max(Sheet1!O$2:O$104))-log(min(Sheet1!O$2:O$104)))</f>
        <v>0.9044316699</v>
      </c>
      <c r="P10" s="24">
        <f>(log(Sheet1!P10)-log(min(Sheet1!P$2:P$104)))/(log(max(Sheet1!P$2:P$104))-log(min(Sheet1!P$2:P$104)))</f>
        <v>0.9027385369</v>
      </c>
      <c r="Q10" s="24">
        <f>(log(Sheet1!Q10)-log(min(Sheet1!Q$2:Q$104)))/(log(max(Sheet1!Q$2:Q$104))-log(min(Sheet1!Q$2:Q$104)))</f>
        <v>0.414592603</v>
      </c>
      <c r="R10" s="24">
        <f>(log(Sheet1!R10)-log(min(Sheet1!R$2:R$104)))/(log(max(Sheet1!R$2:R$104))-log(min(Sheet1!R$2:R$104)))</f>
        <v>0.7010242817</v>
      </c>
      <c r="S10" s="24">
        <f>(log(Sheet1!S10)-log(min(Sheet1!S$2:S$104)))/(log(max(Sheet1!S$2:S$104))-log(min(Sheet1!S$2:S$104)))</f>
        <v>0.8014903127</v>
      </c>
      <c r="T10" s="24">
        <f>(log(Sheet1!T10)-log(min(Sheet1!T$2:T$104)))/(log(max(Sheet1!T$2:T$104))-log(min(Sheet1!T$2:T$104)))</f>
        <v>0.272248797</v>
      </c>
      <c r="U10" s="24">
        <f>(log(Sheet1!U10)-log(min(Sheet1!U$2:U$104)))/(log(max(Sheet1!U$2:U$104))-log(min(Sheet1!U$2:U$104)))</f>
        <v>0.3625274467</v>
      </c>
      <c r="V10" s="24"/>
      <c r="W10" s="24"/>
      <c r="X10" s="24"/>
      <c r="Y10" s="24"/>
      <c r="Z10" s="24"/>
      <c r="AA10" s="24"/>
      <c r="AB10" s="24"/>
    </row>
    <row r="11">
      <c r="A11" s="24" t="s">
        <v>44</v>
      </c>
      <c r="B11" s="25">
        <v>159964.0</v>
      </c>
      <c r="C11" s="24">
        <f>(log(Sheet1!C11)-log(min(Sheet1!$C$2:$C$104)))/(log(max(Sheet1!$C$2:$C$104))-log(min(Sheet1!$C$2:$C$104)))</f>
        <v>0.5790127292</v>
      </c>
      <c r="D11" s="24">
        <v>0.4</v>
      </c>
      <c r="E11" s="24">
        <v>0.323</v>
      </c>
      <c r="F11" s="24">
        <v>0.709677</v>
      </c>
      <c r="G11" s="24">
        <v>0.552</v>
      </c>
      <c r="H11" s="24">
        <f>(log(Sheet1!H11)-log(min(Sheet1!$H$2:$H$104)))/(log(max(Sheet1!$H$2:$H$104))-log(min(Sheet1!$H$2:$H$104)))</f>
        <v>0.622460634</v>
      </c>
      <c r="I11" s="24">
        <f>(log(Sheet1!I11)-log(min(Sheet1!I$2:I$104)))/(log(max(Sheet1!I$2:I$104))-log(min(Sheet1!I$2:I$104)))</f>
        <v>0.9001189917</v>
      </c>
      <c r="J11" s="24">
        <f>(log(Sheet1!J11)-log(min(Sheet1!J$2:J$104)))/(log(max(Sheet1!J$2:J$104))-log(min(Sheet1!J$2:J$104)))</f>
        <v>0.6437922934</v>
      </c>
      <c r="K11" s="24">
        <f>(log(Sheet1!K11)-log(min(Sheet1!K$2:K$104)))/(log(max(Sheet1!K$2:K$104))-log(min(Sheet1!K$2:K$104)))</f>
        <v>0.2484450176</v>
      </c>
      <c r="L11" s="24">
        <f>(log(Sheet1!L11)-log(min(Sheet1!L$2:L$104)))/(log(max(Sheet1!L$2:L$104))-log(min(Sheet1!L$2:L$104)))</f>
        <v>0.8052725608</v>
      </c>
      <c r="M11" s="24">
        <f>(log(Sheet1!M11)-log(min(Sheet1!M$2:M$104)))/(log(max(Sheet1!M$2:M$104))-log(min(Sheet1!M$2:M$104)))</f>
        <v>0.7618113606</v>
      </c>
      <c r="N11" s="24">
        <f>(log(Sheet1!N11)-log(min(Sheet1!N$2:N$104)))/(log(max(Sheet1!N$2:N$104))-log(min(Sheet1!N$2:N$104)))</f>
        <v>0.5260017028</v>
      </c>
      <c r="O11" s="24">
        <f>(log(Sheet1!O11)-log(min(Sheet1!O$2:O$104)))/(log(max(Sheet1!O$2:O$104))-log(min(Sheet1!O$2:O$104)))</f>
        <v>0.6023082705</v>
      </c>
      <c r="P11" s="24">
        <f>(log(Sheet1!P11)-log(min(Sheet1!P$2:P$104)))/(log(max(Sheet1!P$2:P$104))-log(min(Sheet1!P$2:P$104)))</f>
        <v>0.5221412704</v>
      </c>
      <c r="Q11" s="24">
        <f>(log(Sheet1!Q11)-log(min(Sheet1!Q$2:Q$104)))/(log(max(Sheet1!Q$2:Q$104))-log(min(Sheet1!Q$2:Q$104)))</f>
        <v>0.403167651</v>
      </c>
      <c r="R11" s="24">
        <f>(log(Sheet1!R11)-log(min(Sheet1!R$2:R$104)))/(log(max(Sheet1!R$2:R$104))-log(min(Sheet1!R$2:R$104)))</f>
        <v>0.6532198777</v>
      </c>
      <c r="S11" s="24">
        <f>(log(Sheet1!S11)-log(min(Sheet1!S$2:S$104)))/(log(max(Sheet1!S$2:S$104))-log(min(Sheet1!S$2:S$104)))</f>
        <v>0.4205719705</v>
      </c>
      <c r="T11" s="24">
        <f>(log(Sheet1!T11)-log(min(Sheet1!T$2:T$104)))/(log(max(Sheet1!T$2:T$104))-log(min(Sheet1!T$2:T$104)))</f>
        <v>0.188733079</v>
      </c>
      <c r="U11" s="24">
        <f>(log(Sheet1!U11)-log(min(Sheet1!U$2:U$104)))/(log(max(Sheet1!U$2:U$104))-log(min(Sheet1!U$2:U$104)))</f>
        <v>0.4085489327</v>
      </c>
      <c r="V11" s="24"/>
      <c r="W11" s="24"/>
      <c r="X11" s="24"/>
      <c r="Y11" s="24"/>
      <c r="Z11" s="24"/>
      <c r="AA11" s="24"/>
      <c r="AB11" s="24"/>
    </row>
    <row r="12">
      <c r="A12" s="24" t="s">
        <v>46</v>
      </c>
      <c r="B12" s="25">
        <v>275901.0</v>
      </c>
      <c r="C12" s="24">
        <f>(log(Sheet1!C12)-log(min(Sheet1!$C$2:$C$104)))/(log(max(Sheet1!$C$2:$C$104))-log(min(Sheet1!$C$2:$C$104)))</f>
        <v>0.7081788425</v>
      </c>
      <c r="D12" s="24">
        <v>0.4</v>
      </c>
      <c r="E12" s="24">
        <v>0.352</v>
      </c>
      <c r="F12" s="24">
        <v>0.306452</v>
      </c>
      <c r="G12" s="24">
        <v>0.613</v>
      </c>
      <c r="H12" s="24">
        <f>(log(Sheet1!H12)-log(min(Sheet1!$H$2:$H$104)))/(log(max(Sheet1!$H$2:$H$104))-log(min(Sheet1!$H$2:$H$104)))</f>
        <v>0.8163307322</v>
      </c>
      <c r="I12" s="24">
        <f>(log(Sheet1!I12)-log(min(Sheet1!I$2:I$104)))/(log(max(Sheet1!I$2:I$104))-log(min(Sheet1!I$2:I$104)))</f>
        <v>0.8467299417</v>
      </c>
      <c r="J12" s="24">
        <f>(log(Sheet1!J12)-log(min(Sheet1!J$2:J$104)))/(log(max(Sheet1!J$2:J$104))-log(min(Sheet1!J$2:J$104)))</f>
        <v>0.813014502</v>
      </c>
      <c r="K12" s="24">
        <f>(log(Sheet1!K12)-log(min(Sheet1!K$2:K$104)))/(log(max(Sheet1!K$2:K$104))-log(min(Sheet1!K$2:K$104)))</f>
        <v>0.9921297609</v>
      </c>
      <c r="L12" s="24">
        <f>(log(Sheet1!L12)-log(min(Sheet1!L$2:L$104)))/(log(max(Sheet1!L$2:L$104))-log(min(Sheet1!L$2:L$104)))</f>
        <v>0.3551709834</v>
      </c>
      <c r="M12" s="24">
        <f>(log(Sheet1!M12)-log(min(Sheet1!M$2:M$104)))/(log(max(Sheet1!M$2:M$104))-log(min(Sheet1!M$2:M$104)))</f>
        <v>0.8319433886</v>
      </c>
      <c r="N12" s="24">
        <f>(log(Sheet1!N12)-log(min(Sheet1!N$2:N$104)))/(log(max(Sheet1!N$2:N$104))-log(min(Sheet1!N$2:N$104)))</f>
        <v>0.2775923779</v>
      </c>
      <c r="O12" s="24">
        <f>(log(Sheet1!O12)-log(min(Sheet1!O$2:O$104)))/(log(max(Sheet1!O$2:O$104))-log(min(Sheet1!O$2:O$104)))</f>
        <v>0.4741205957</v>
      </c>
      <c r="P12" s="24">
        <f>(log(Sheet1!P12)-log(min(Sheet1!P$2:P$104)))/(log(max(Sheet1!P$2:P$104))-log(min(Sheet1!P$2:P$104)))</f>
        <v>0.1996210709</v>
      </c>
      <c r="Q12" s="24">
        <f>(log(Sheet1!Q12)-log(min(Sheet1!Q$2:Q$104)))/(log(max(Sheet1!Q$2:Q$104))-log(min(Sheet1!Q$2:Q$104)))</f>
        <v>0.1454863118</v>
      </c>
      <c r="R12" s="24">
        <f>(log(Sheet1!R12)-log(min(Sheet1!R$2:R$104)))/(log(max(Sheet1!R$2:R$104))-log(min(Sheet1!R$2:R$104)))</f>
        <v>0.7099448238</v>
      </c>
      <c r="S12" s="24">
        <f>(log(Sheet1!S12)-log(min(Sheet1!S$2:S$104)))/(log(max(Sheet1!S$2:S$104))-log(min(Sheet1!S$2:S$104)))</f>
        <v>0.1249998227</v>
      </c>
      <c r="T12" s="24">
        <f>(log(Sheet1!T12)-log(min(Sheet1!T$2:T$104)))/(log(max(Sheet1!T$2:T$104))-log(min(Sheet1!T$2:T$104)))</f>
        <v>0.3039999993</v>
      </c>
      <c r="U12" s="24">
        <f>(log(Sheet1!U12)-log(min(Sheet1!U$2:U$104)))/(log(max(Sheet1!U$2:U$104))-log(min(Sheet1!U$2:U$104)))</f>
        <v>0.6586837958</v>
      </c>
      <c r="V12" s="24"/>
      <c r="W12" s="24"/>
      <c r="X12" s="24"/>
      <c r="Y12" s="24"/>
      <c r="Z12" s="24"/>
      <c r="AA12" s="24"/>
      <c r="AB12" s="24"/>
    </row>
    <row r="13">
      <c r="A13" s="24" t="s">
        <v>48</v>
      </c>
      <c r="B13" s="25">
        <v>88338.0</v>
      </c>
      <c r="C13" s="24">
        <f>(log(Sheet1!C13)-log(min(Sheet1!$C$2:$C$104)))/(log(max(Sheet1!$C$2:$C$104))-log(min(Sheet1!$C$2:$C$104)))</f>
        <v>0.5553197905</v>
      </c>
      <c r="D13" s="24">
        <v>0.4</v>
      </c>
      <c r="E13" s="24">
        <v>0.373</v>
      </c>
      <c r="F13" s="24">
        <v>0.83871</v>
      </c>
      <c r="G13" s="24">
        <v>0.162</v>
      </c>
      <c r="H13" s="24">
        <f>(log(Sheet1!H13)-log(min(Sheet1!$H$2:$H$104)))/(log(max(Sheet1!$H$2:$H$104))-log(min(Sheet1!$H$2:$H$104)))</f>
        <v>0.4789950636</v>
      </c>
      <c r="I13" s="24">
        <f>(log(Sheet1!I13)-log(min(Sheet1!I$2:I$104)))/(log(max(Sheet1!I$2:I$104))-log(min(Sheet1!I$2:I$104)))</f>
        <v>0.4443433719</v>
      </c>
      <c r="J13" s="24">
        <f>(log(Sheet1!J13)-log(min(Sheet1!J$2:J$104)))/(log(max(Sheet1!J$2:J$104))-log(min(Sheet1!J$2:J$104)))</f>
        <v>0.3589496804</v>
      </c>
      <c r="K13" s="24">
        <f>(log(Sheet1!K13)-log(min(Sheet1!K$2:K$104)))/(log(max(Sheet1!K$2:K$104))-log(min(Sheet1!K$2:K$104)))</f>
        <v>0.9256594907</v>
      </c>
      <c r="L13" s="24">
        <f>(log(Sheet1!L13)-log(min(Sheet1!L$2:L$104)))/(log(max(Sheet1!L$2:L$104))-log(min(Sheet1!L$2:L$104)))</f>
        <v>0.4473068107</v>
      </c>
      <c r="M13" s="24">
        <f>(log(Sheet1!M13)-log(min(Sheet1!M$2:M$104)))/(log(max(Sheet1!M$2:M$104))-log(min(Sheet1!M$2:M$104)))</f>
        <v>0.7587435901</v>
      </c>
      <c r="N13" s="24">
        <f>(log(Sheet1!N13)-log(min(Sheet1!N$2:N$104)))/(log(max(Sheet1!N$2:N$104))-log(min(Sheet1!N$2:N$104)))</f>
        <v>0.7681088313</v>
      </c>
      <c r="O13" s="24">
        <f>(log(Sheet1!O13)-log(min(Sheet1!O$2:O$104)))/(log(max(Sheet1!O$2:O$104))-log(min(Sheet1!O$2:O$104)))</f>
        <v>0.44016491</v>
      </c>
      <c r="P13" s="24">
        <f>(log(Sheet1!P13)-log(min(Sheet1!P$2:P$104)))/(log(max(Sheet1!P$2:P$104))-log(min(Sheet1!P$2:P$104)))</f>
        <v>0.5987744815</v>
      </c>
      <c r="Q13" s="24">
        <f>(log(Sheet1!Q13)-log(min(Sheet1!Q$2:Q$104)))/(log(max(Sheet1!Q$2:Q$104))-log(min(Sheet1!Q$2:Q$104)))</f>
        <v>0.2645412812</v>
      </c>
      <c r="R13" s="24">
        <f>(log(Sheet1!R13)-log(min(Sheet1!R$2:R$104)))/(log(max(Sheet1!R$2:R$104))-log(min(Sheet1!R$2:R$104)))</f>
        <v>0.7272184234</v>
      </c>
      <c r="S13" s="24">
        <f>(log(Sheet1!S13)-log(min(Sheet1!S$2:S$104)))/(log(max(Sheet1!S$2:S$104))-log(min(Sheet1!S$2:S$104)))</f>
        <v>0.4653527382</v>
      </c>
      <c r="T13" s="24">
        <f>(log(Sheet1!T13)-log(min(Sheet1!T$2:T$104)))/(log(max(Sheet1!T$2:T$104))-log(min(Sheet1!T$2:T$104)))</f>
        <v>0.2790026841</v>
      </c>
      <c r="U13" s="24">
        <f>(log(Sheet1!U13)-log(min(Sheet1!U$2:U$104)))/(log(max(Sheet1!U$2:U$104))-log(min(Sheet1!U$2:U$104)))</f>
        <v>0.3784329159</v>
      </c>
      <c r="V13" s="24"/>
      <c r="W13" s="24"/>
      <c r="X13" s="24"/>
      <c r="Y13" s="24"/>
      <c r="Z13" s="24"/>
      <c r="AA13" s="24"/>
      <c r="AB13" s="24"/>
    </row>
    <row r="14">
      <c r="A14" s="24" t="s">
        <v>50</v>
      </c>
      <c r="B14" s="25">
        <v>240016.0</v>
      </c>
      <c r="C14" s="24">
        <f>(log(Sheet1!C14)-log(min(Sheet1!$C$2:$C$104)))/(log(max(Sheet1!$C$2:$C$104))-log(min(Sheet1!$C$2:$C$104)))</f>
        <v>0.7912036316</v>
      </c>
      <c r="D14" s="24">
        <v>0.2</v>
      </c>
      <c r="E14" s="24">
        <v>0.596</v>
      </c>
      <c r="F14" s="24">
        <v>0.564516</v>
      </c>
      <c r="G14" s="24">
        <v>0.456</v>
      </c>
      <c r="H14" s="24">
        <f>(log(Sheet1!H14)-log(min(Sheet1!$H$2:$H$104)))/(log(max(Sheet1!$H$2:$H$104))-log(min(Sheet1!$H$2:$H$104)))</f>
        <v>0.5655111425</v>
      </c>
      <c r="I14" s="24">
        <f>(log(Sheet1!I14)-log(min(Sheet1!I$2:I$104)))/(log(max(Sheet1!I$2:I$104))-log(min(Sheet1!I$2:I$104)))</f>
        <v>0.8198181107</v>
      </c>
      <c r="J14" s="24">
        <f>(log(Sheet1!J14)-log(min(Sheet1!J$2:J$104)))/(log(max(Sheet1!J$2:J$104))-log(min(Sheet1!J$2:J$104)))</f>
        <v>0.7166616669</v>
      </c>
      <c r="K14" s="24">
        <f>(log(Sheet1!K14)-log(min(Sheet1!K$2:K$104)))/(log(max(Sheet1!K$2:K$104))-log(min(Sheet1!K$2:K$104)))</f>
        <v>0.6640082102</v>
      </c>
      <c r="L14" s="24">
        <f>(log(Sheet1!L14)-log(min(Sheet1!L$2:L$104)))/(log(max(Sheet1!L$2:L$104))-log(min(Sheet1!L$2:L$104)))</f>
        <v>0.3282286171</v>
      </c>
      <c r="M14" s="24">
        <f>(log(Sheet1!M14)-log(min(Sheet1!M$2:M$104)))/(log(max(Sheet1!M$2:M$104))-log(min(Sheet1!M$2:M$104)))</f>
        <v>0.8067630025</v>
      </c>
      <c r="N14" s="24">
        <f>(log(Sheet1!N14)-log(min(Sheet1!N$2:N$104)))/(log(max(Sheet1!N$2:N$104))-log(min(Sheet1!N$2:N$104)))</f>
        <v>0.9273013481</v>
      </c>
      <c r="O14" s="24">
        <f>(log(Sheet1!O14)-log(min(Sheet1!O$2:O$104)))/(log(max(Sheet1!O$2:O$104))-log(min(Sheet1!O$2:O$104)))</f>
        <v>0.3330937179</v>
      </c>
      <c r="P14" s="24">
        <f>(log(Sheet1!P14)-log(min(Sheet1!P$2:P$104)))/(log(max(Sheet1!P$2:P$104))-log(min(Sheet1!P$2:P$104)))</f>
        <v>0.3351228146</v>
      </c>
      <c r="Q14" s="24">
        <f>(log(Sheet1!Q14)-log(min(Sheet1!Q$2:Q$104)))/(log(max(Sheet1!Q$2:Q$104))-log(min(Sheet1!Q$2:Q$104)))</f>
        <v>0.5956773666</v>
      </c>
      <c r="R14" s="24">
        <f>(log(Sheet1!R14)-log(min(Sheet1!R$2:R$104)))/(log(max(Sheet1!R$2:R$104))-log(min(Sheet1!R$2:R$104)))</f>
        <v>0.6919032612</v>
      </c>
      <c r="S14" s="24">
        <f>(log(Sheet1!S14)-log(min(Sheet1!S$2:S$104)))/(log(max(Sheet1!S$2:S$104))-log(min(Sheet1!S$2:S$104)))</f>
        <v>0.6339010794</v>
      </c>
      <c r="T14" s="24">
        <f>(log(Sheet1!T14)-log(min(Sheet1!T$2:T$104)))/(log(max(Sheet1!T$2:T$104))-log(min(Sheet1!T$2:T$104)))</f>
        <v>0.2580379831</v>
      </c>
      <c r="U14" s="24">
        <f>(log(Sheet1!U14)-log(min(Sheet1!U$2:U$104)))/(log(max(Sheet1!U$2:U$104))-log(min(Sheet1!U$2:U$104)))</f>
        <v>0.4565701611</v>
      </c>
      <c r="V14" s="24"/>
      <c r="W14" s="24"/>
      <c r="X14" s="24"/>
      <c r="Y14" s="24"/>
      <c r="Z14" s="24"/>
      <c r="AA14" s="24"/>
      <c r="AB14" s="24"/>
    </row>
    <row r="15">
      <c r="A15" s="24" t="s">
        <v>51</v>
      </c>
      <c r="B15" s="25">
        <v>80574.0</v>
      </c>
      <c r="C15" s="24">
        <f>(log(Sheet1!C15)-log(min(Sheet1!$C$2:$C$104)))/(log(max(Sheet1!$C$2:$C$104))-log(min(Sheet1!$C$2:$C$104)))</f>
        <v>0.5506897894</v>
      </c>
      <c r="D15" s="24">
        <v>0.4</v>
      </c>
      <c r="E15" s="24">
        <v>0.284</v>
      </c>
      <c r="F15" s="24">
        <v>0.919355</v>
      </c>
      <c r="G15" s="24">
        <v>0.165</v>
      </c>
      <c r="H15" s="24">
        <f>(log(Sheet1!H15)-log(min(Sheet1!$H$2:$H$104)))/(log(max(Sheet1!$H$2:$H$104))-log(min(Sheet1!$H$2:$H$104)))</f>
        <v>0.4913833154</v>
      </c>
      <c r="I15" s="24">
        <f>(log(Sheet1!I15)-log(min(Sheet1!I$2:I$104)))/(log(max(Sheet1!I$2:I$104))-log(min(Sheet1!I$2:I$104)))</f>
        <v>0.3085963626</v>
      </c>
      <c r="J15" s="24">
        <f>(log(Sheet1!J15)-log(min(Sheet1!J$2:J$104)))/(log(max(Sheet1!J$2:J$104))-log(min(Sheet1!J$2:J$104)))</f>
        <v>0.3116422698</v>
      </c>
      <c r="K15" s="24">
        <f>(log(Sheet1!K15)-log(min(Sheet1!K$2:K$104)))/(log(max(Sheet1!K$2:K$104))-log(min(Sheet1!K$2:K$104)))</f>
        <v>0.9803881804</v>
      </c>
      <c r="L15" s="24">
        <f>(log(Sheet1!L15)-log(min(Sheet1!L$2:L$104)))/(log(max(Sheet1!L$2:L$104))-log(min(Sheet1!L$2:L$104)))</f>
        <v>0.3294421863</v>
      </c>
      <c r="M15" s="24">
        <f>(log(Sheet1!M15)-log(min(Sheet1!M$2:M$104)))/(log(max(Sheet1!M$2:M$104))-log(min(Sheet1!M$2:M$104)))</f>
        <v>0.7327981267</v>
      </c>
      <c r="N15" s="24">
        <f>(log(Sheet1!N15)-log(min(Sheet1!N$2:N$104)))/(log(max(Sheet1!N$2:N$104))-log(min(Sheet1!N$2:N$104)))</f>
        <v>0.7510363582</v>
      </c>
      <c r="O15" s="24">
        <f>(log(Sheet1!O15)-log(min(Sheet1!O$2:O$104)))/(log(max(Sheet1!O$2:O$104))-log(min(Sheet1!O$2:O$104)))</f>
        <v>0.44016491</v>
      </c>
      <c r="P15" s="24">
        <f>(log(Sheet1!P15)-log(min(Sheet1!P$2:P$104)))/(log(max(Sheet1!P$2:P$104))-log(min(Sheet1!P$2:P$104)))</f>
        <v>0.5880105454</v>
      </c>
      <c r="Q15" s="24">
        <f>(log(Sheet1!Q15)-log(min(Sheet1!Q$2:Q$104)))/(log(max(Sheet1!Q$2:Q$104))-log(min(Sheet1!Q$2:Q$104)))</f>
        <v>0.397419718</v>
      </c>
      <c r="R15" s="24">
        <f>(log(Sheet1!R15)-log(min(Sheet1!R$2:R$104)))/(log(max(Sheet1!R$2:R$104))-log(min(Sheet1!R$2:R$104)))</f>
        <v>0.6632418271</v>
      </c>
      <c r="S15" s="24">
        <f>(log(Sheet1!S15)-log(min(Sheet1!S$2:S$104)))/(log(max(Sheet1!S$2:S$104))-log(min(Sheet1!S$2:S$104)))</f>
        <v>0.6389171509</v>
      </c>
      <c r="T15" s="24">
        <f>(log(Sheet1!T15)-log(min(Sheet1!T$2:T$104)))/(log(max(Sheet1!T$2:T$104))-log(min(Sheet1!T$2:T$104)))</f>
        <v>0.2790026841</v>
      </c>
      <c r="U15" s="24">
        <f>(log(Sheet1!U15)-log(min(Sheet1!U$2:U$104)))/(log(max(Sheet1!U$2:U$104))-log(min(Sheet1!U$2:U$104)))</f>
        <v>0.3861660671</v>
      </c>
      <c r="V15" s="24"/>
      <c r="W15" s="24"/>
      <c r="X15" s="24"/>
      <c r="Y15" s="24"/>
      <c r="Z15" s="24"/>
      <c r="AA15" s="24"/>
      <c r="AB15" s="24"/>
    </row>
    <row r="16">
      <c r="A16" s="24" t="s">
        <v>52</v>
      </c>
      <c r="B16" s="25">
        <v>11137.0</v>
      </c>
      <c r="C16" s="24">
        <f>(log(Sheet1!C16)-log(min(Sheet1!$C$2:$C$104)))/(log(max(Sheet1!$C$2:$C$104))-log(min(Sheet1!$C$2:$C$104)))</f>
        <v>0.3116333934</v>
      </c>
      <c r="D16" s="24">
        <v>0.2</v>
      </c>
      <c r="E16" s="24">
        <v>0.359</v>
      </c>
      <c r="F16" s="24">
        <v>0.887097</v>
      </c>
      <c r="G16" s="24">
        <v>0.493</v>
      </c>
      <c r="H16" s="24">
        <f>(log(Sheet1!H16)-log(min(Sheet1!$H$2:$H$104)))/(log(max(Sheet1!$H$2:$H$104))-log(min(Sheet1!$H$2:$H$104)))</f>
        <v>0.5907190985</v>
      </c>
      <c r="I16" s="24">
        <f>(log(Sheet1!I16)-log(min(Sheet1!I$2:I$104)))/(log(max(Sheet1!I$2:I$104))-log(min(Sheet1!I$2:I$104)))</f>
        <v>0.8841625982</v>
      </c>
      <c r="J16" s="24">
        <f>(log(Sheet1!J16)-log(min(Sheet1!J$2:J$104)))/(log(max(Sheet1!J$2:J$104))-log(min(Sheet1!J$2:J$104)))</f>
        <v>0.4992259284</v>
      </c>
      <c r="K16" s="24">
        <f>(log(Sheet1!K16)-log(min(Sheet1!K$2:K$104)))/(log(max(Sheet1!K$2:K$104))-log(min(Sheet1!K$2:K$104)))</f>
        <v>0.02720319656</v>
      </c>
      <c r="L16" s="24">
        <f>(log(Sheet1!L16)-log(min(Sheet1!L$2:L$104)))/(log(max(Sheet1!L$2:L$104))-log(min(Sheet1!L$2:L$104)))</f>
        <v>0.6870203759</v>
      </c>
      <c r="M16" s="24">
        <f>(log(Sheet1!M16)-log(min(Sheet1!M$2:M$104)))/(log(max(Sheet1!M$2:M$104))-log(min(Sheet1!M$2:M$104)))</f>
        <v>0.7860998011</v>
      </c>
      <c r="N16" s="24">
        <f>(log(Sheet1!N16)-log(min(Sheet1!N$2:N$104)))/(log(max(Sheet1!N$2:N$104))-log(min(Sheet1!N$2:N$104)))</f>
        <v>0.4842969781</v>
      </c>
      <c r="O16" s="24">
        <f>(log(Sheet1!O16)-log(min(Sheet1!O$2:O$104)))/(log(max(Sheet1!O$2:O$104))-log(min(Sheet1!O$2:O$104)))</f>
        <v>0.1763664797</v>
      </c>
      <c r="P16" s="24">
        <f>(log(Sheet1!P16)-log(min(Sheet1!P$2:P$104)))/(log(max(Sheet1!P$2:P$104))-log(min(Sheet1!P$2:P$104)))</f>
        <v>0.8936972928</v>
      </c>
      <c r="Q16" s="24">
        <f>(log(Sheet1!Q16)-log(min(Sheet1!Q$2:Q$104)))/(log(max(Sheet1!Q$2:Q$104))-log(min(Sheet1!Q$2:Q$104)))</f>
        <v>0.8252626304</v>
      </c>
      <c r="R16" s="24">
        <f>(log(Sheet1!R16)-log(min(Sheet1!R$2:R$104)))/(log(max(Sheet1!R$2:R$104))-log(min(Sheet1!R$2:R$104)))</f>
        <v>0</v>
      </c>
      <c r="S16" s="24">
        <f>(log(Sheet1!S16)-log(min(Sheet1!S$2:S$104)))/(log(max(Sheet1!S$2:S$104))-log(min(Sheet1!S$2:S$104)))</f>
        <v>0.6339010794</v>
      </c>
      <c r="T16" s="24">
        <f>(log(Sheet1!T16)-log(min(Sheet1!T$2:T$104)))/(log(max(Sheet1!T$2:T$104))-log(min(Sheet1!T$2:T$104)))</f>
        <v>0.1427710628</v>
      </c>
      <c r="U16" s="24">
        <f>(log(Sheet1!U16)-log(min(Sheet1!U$2:U$104)))/(log(max(Sheet1!U$2:U$104))-log(min(Sheet1!U$2:U$104)))</f>
        <v>0.4996750617</v>
      </c>
      <c r="V16" s="24"/>
      <c r="W16" s="24"/>
      <c r="X16" s="24"/>
      <c r="Y16" s="24"/>
      <c r="Z16" s="24"/>
      <c r="AA16" s="24"/>
      <c r="AB16" s="24"/>
    </row>
    <row r="17">
      <c r="A17" s="24" t="s">
        <v>54</v>
      </c>
      <c r="B17" s="25">
        <v>69615.0</v>
      </c>
      <c r="C17" s="24">
        <f>(log(Sheet1!C17)-log(min(Sheet1!$C$2:$C$104)))/(log(max(Sheet1!$C$2:$C$104))-log(min(Sheet1!$C$2:$C$104)))</f>
        <v>0.5122082844</v>
      </c>
      <c r="D17" s="24">
        <v>0.8</v>
      </c>
      <c r="E17" s="24">
        <v>0.271</v>
      </c>
      <c r="F17" s="24">
        <v>0.83871</v>
      </c>
      <c r="G17" s="24">
        <v>0.616</v>
      </c>
      <c r="H17" s="24">
        <f>(log(Sheet1!H17)-log(min(Sheet1!$H$2:$H$104)))/(log(max(Sheet1!$H$2:$H$104))-log(min(Sheet1!$H$2:$H$104)))</f>
        <v>0.7991127269</v>
      </c>
      <c r="I17" s="24">
        <f>(log(Sheet1!I17)-log(min(Sheet1!I$2:I$104)))/(log(max(Sheet1!I$2:I$104))-log(min(Sheet1!I$2:I$104)))</f>
        <v>0.8681546493</v>
      </c>
      <c r="J17" s="24">
        <f>(log(Sheet1!J17)-log(min(Sheet1!J$2:J$104)))/(log(max(Sheet1!J$2:J$104))-log(min(Sheet1!J$2:J$104)))</f>
        <v>0.6280371228</v>
      </c>
      <c r="K17" s="24">
        <f>(log(Sheet1!K17)-log(min(Sheet1!K$2:K$104)))/(log(max(Sheet1!K$2:K$104))-log(min(Sheet1!K$2:K$104)))</f>
        <v>0.2054195775</v>
      </c>
      <c r="L17" s="24">
        <f>(log(Sheet1!L17)-log(min(Sheet1!L$2:L$104)))/(log(max(Sheet1!L$2:L$104))-log(min(Sheet1!L$2:L$104)))</f>
        <v>0.9617350428</v>
      </c>
      <c r="M17" s="24">
        <f>(log(Sheet1!M17)-log(min(Sheet1!M$2:M$104)))/(log(max(Sheet1!M$2:M$104))-log(min(Sheet1!M$2:M$104)))</f>
        <v>0.8000834151</v>
      </c>
      <c r="N17" s="24">
        <f>(log(Sheet1!N17)-log(min(Sheet1!N$2:N$104)))/(log(max(Sheet1!N$2:N$104))-log(min(Sheet1!N$2:N$104)))</f>
        <v>0.4190580552</v>
      </c>
      <c r="O17" s="24">
        <f>(log(Sheet1!O17)-log(min(Sheet1!O$2:O$104)))/(log(max(Sheet1!O$2:O$104))-log(min(Sheet1!O$2:O$104)))</f>
        <v>0.2955156838</v>
      </c>
      <c r="P17" s="24">
        <f>(log(Sheet1!P17)-log(min(Sheet1!P$2:P$104)))/(log(max(Sheet1!P$2:P$104))-log(min(Sheet1!P$2:P$104)))</f>
        <v>0.5083634404</v>
      </c>
      <c r="Q17" s="24">
        <f>(log(Sheet1!Q17)-log(min(Sheet1!Q$2:Q$104)))/(log(max(Sheet1!Q$2:Q$104))-log(min(Sheet1!Q$2:Q$104)))</f>
        <v>0.3445883331</v>
      </c>
      <c r="R17" s="24">
        <f>(log(Sheet1!R17)-log(min(Sheet1!R$2:R$104)))/(log(max(Sheet1!R$2:R$104))-log(min(Sheet1!R$2:R$104)))</f>
        <v>0.7597052235</v>
      </c>
      <c r="S17" s="24">
        <f>(log(Sheet1!S17)-log(min(Sheet1!S$2:S$104)))/(log(max(Sheet1!S$2:S$104))-log(min(Sheet1!S$2:S$104)))</f>
        <v>0.4542637208</v>
      </c>
      <c r="T17" s="24">
        <f>(log(Sheet1!T17)-log(min(Sheet1!T$2:T$104)))/(log(max(Sheet1!T$2:T$104))-log(min(Sheet1!T$2:T$104)))</f>
        <v>0.2427735858</v>
      </c>
      <c r="U17" s="24">
        <f>(log(Sheet1!U17)-log(min(Sheet1!U$2:U$104)))/(log(max(Sheet1!U$2:U$104))-log(min(Sheet1!U$2:U$104)))</f>
        <v>0.51122222</v>
      </c>
      <c r="V17" s="24"/>
      <c r="W17" s="24"/>
      <c r="X17" s="24"/>
      <c r="Y17" s="24"/>
      <c r="Z17" s="24"/>
      <c r="AA17" s="24"/>
      <c r="AB17" s="24"/>
    </row>
    <row r="18">
      <c r="A18" s="24" t="s">
        <v>55</v>
      </c>
      <c r="B18" s="25">
        <v>22807.0</v>
      </c>
      <c r="C18" s="24">
        <f>(log(Sheet1!C18)-log(min(Sheet1!$C$2:$C$104)))/(log(max(Sheet1!$C$2:$C$104))-log(min(Sheet1!$C$2:$C$104)))</f>
        <v>0.3411351563</v>
      </c>
      <c r="D18" s="24">
        <v>1.0</v>
      </c>
      <c r="E18" s="24">
        <v>0.526</v>
      </c>
      <c r="F18" s="24">
        <v>0.677419</v>
      </c>
      <c r="G18" s="24">
        <v>0.107</v>
      </c>
      <c r="H18" s="24">
        <f>(log(Sheet1!H18)-log(min(Sheet1!$H$2:$H$104)))/(log(max(Sheet1!$H$2:$H$104))-log(min(Sheet1!$H$2:$H$104)))</f>
        <v>0.4531702315</v>
      </c>
      <c r="I18" s="24">
        <f>(log(Sheet1!I18)-log(min(Sheet1!I$2:I$104)))/(log(max(Sheet1!I$2:I$104))-log(min(Sheet1!I$2:I$104)))</f>
        <v>0.3621585697</v>
      </c>
      <c r="J18" s="24">
        <f>(log(Sheet1!J18)-log(min(Sheet1!J$2:J$104)))/(log(max(Sheet1!J$2:J$104))-log(min(Sheet1!J$2:J$104)))</f>
        <v>0.2253223028</v>
      </c>
      <c r="K18" s="24">
        <f>(log(Sheet1!K18)-log(min(Sheet1!K$2:K$104)))/(log(max(Sheet1!K$2:K$104))-log(min(Sheet1!K$2:K$104)))</f>
        <v>0.6606189761</v>
      </c>
      <c r="L18" s="24">
        <f>(log(Sheet1!L18)-log(min(Sheet1!L$2:L$104)))/(log(max(Sheet1!L$2:L$104))-log(min(Sheet1!L$2:L$104)))</f>
        <v>0.3506147417</v>
      </c>
      <c r="M18" s="24">
        <f>(log(Sheet1!M18)-log(min(Sheet1!M$2:M$104)))/(log(max(Sheet1!M$2:M$104))-log(min(Sheet1!M$2:M$104)))</f>
        <v>0.8415607144</v>
      </c>
      <c r="N18" s="24">
        <f>(log(Sheet1!N18)-log(min(Sheet1!N$2:N$104)))/(log(max(Sheet1!N$2:N$104))-log(min(Sheet1!N$2:N$104)))</f>
        <v>0.7337315994</v>
      </c>
      <c r="O18" s="24">
        <f>(log(Sheet1!O18)-log(min(Sheet1!O$2:O$104)))/(log(max(Sheet1!O$2:O$104))-log(min(Sheet1!O$2:O$104)))</f>
        <v>0.44016491</v>
      </c>
      <c r="P18" s="24">
        <f>(log(Sheet1!P18)-log(min(Sheet1!P$2:P$104)))/(log(max(Sheet1!P$2:P$104))-log(min(Sheet1!P$2:P$104)))</f>
        <v>0.8128319059</v>
      </c>
      <c r="Q18" s="24">
        <f>(log(Sheet1!Q18)-log(min(Sheet1!Q$2:Q$104)))/(log(max(Sheet1!Q$2:Q$104))-log(min(Sheet1!Q$2:Q$104)))</f>
        <v>0.7334162221</v>
      </c>
      <c r="R18" s="24">
        <f>(log(Sheet1!R18)-log(min(Sheet1!R$2:R$104)))/(log(max(Sheet1!R$2:R$104))-log(min(Sheet1!R$2:R$104)))</f>
        <v>0.6730222601</v>
      </c>
      <c r="S18" s="24">
        <f>(log(Sheet1!S18)-log(min(Sheet1!S$2:S$104)))/(log(max(Sheet1!S$2:S$104))-log(min(Sheet1!S$2:S$104)))</f>
        <v>0.668717544</v>
      </c>
      <c r="T18" s="24">
        <f>(log(Sheet1!T18)-log(min(Sheet1!T$2:T$104)))/(log(max(Sheet1!T$2:T$104))-log(min(Sheet1!T$2:T$104)))</f>
        <v>0.2262867807</v>
      </c>
      <c r="U18" s="24">
        <f>(log(Sheet1!U18)-log(min(Sheet1!U$2:U$104)))/(log(max(Sheet1!U$2:U$104))-log(min(Sheet1!U$2:U$104)))</f>
        <v>0.207551709</v>
      </c>
      <c r="V18" s="24"/>
      <c r="W18" s="24"/>
      <c r="X18" s="24"/>
      <c r="Y18" s="24"/>
      <c r="Z18" s="24"/>
      <c r="AA18" s="24"/>
      <c r="AB18" s="24"/>
    </row>
    <row r="19">
      <c r="A19" s="24" t="s">
        <v>57</v>
      </c>
      <c r="B19" s="25">
        <v>164645.0</v>
      </c>
      <c r="C19" s="24">
        <f>(log(Sheet1!C19)-log(min(Sheet1!$C$2:$C$104)))/(log(max(Sheet1!$C$2:$C$104))-log(min(Sheet1!$C$2:$C$104)))</f>
        <v>0.7049872365</v>
      </c>
      <c r="D19" s="24">
        <v>0.4</v>
      </c>
      <c r="E19" s="24">
        <v>0.456</v>
      </c>
      <c r="F19" s="24">
        <v>0.806452</v>
      </c>
      <c r="G19" s="24">
        <v>0.473</v>
      </c>
      <c r="H19" s="24">
        <f>(log(Sheet1!H19)-log(min(Sheet1!$H$2:$H$104)))/(log(max(Sheet1!$H$2:$H$104))-log(min(Sheet1!$H$2:$H$104)))</f>
        <v>0.5441943494</v>
      </c>
      <c r="I19" s="24">
        <f>(log(Sheet1!I19)-log(min(Sheet1!I$2:I$104)))/(log(max(Sheet1!I$2:I$104))-log(min(Sheet1!I$2:I$104)))</f>
        <v>0.5821354994</v>
      </c>
      <c r="J19" s="24">
        <f>(log(Sheet1!J19)-log(min(Sheet1!J$2:J$104)))/(log(max(Sheet1!J$2:J$104))-log(min(Sheet1!J$2:J$104)))</f>
        <v>0.4788707581</v>
      </c>
      <c r="K19" s="24">
        <f>(log(Sheet1!K19)-log(min(Sheet1!K$2:K$104)))/(log(max(Sheet1!K$2:K$104))-log(min(Sheet1!K$2:K$104)))</f>
        <v>0.7790959132</v>
      </c>
      <c r="L19" s="24">
        <f>(log(Sheet1!L19)-log(min(Sheet1!L$2:L$104)))/(log(max(Sheet1!L$2:L$104))-log(min(Sheet1!L$2:L$104)))</f>
        <v>0.5148200282</v>
      </c>
      <c r="M19" s="24">
        <f>(log(Sheet1!M19)-log(min(Sheet1!M$2:M$104)))/(log(max(Sheet1!M$2:M$104))-log(min(Sheet1!M$2:M$104)))</f>
        <v>0.8015006013</v>
      </c>
      <c r="N19" s="24">
        <f>(log(Sheet1!N19)-log(min(Sheet1!N$2:N$104)))/(log(max(Sheet1!N$2:N$104))-log(min(Sheet1!N$2:N$104)))</f>
        <v>0.8341953917</v>
      </c>
      <c r="O19" s="24">
        <f>(log(Sheet1!O19)-log(min(Sheet1!O$2:O$104)))/(log(max(Sheet1!O$2:O$104))-log(min(Sheet1!O$2:O$104)))</f>
        <v>0.369695588</v>
      </c>
      <c r="P19" s="24">
        <f>(log(Sheet1!P19)-log(min(Sheet1!P$2:P$104)))/(log(max(Sheet1!P$2:P$104))-log(min(Sheet1!P$2:P$104)))</f>
        <v>0.4345733356</v>
      </c>
      <c r="Q19" s="24">
        <f>(log(Sheet1!Q19)-log(min(Sheet1!Q$2:Q$104)))/(log(max(Sheet1!Q$2:Q$104))-log(min(Sheet1!Q$2:Q$104)))</f>
        <v>0.2958772357</v>
      </c>
      <c r="R19" s="24">
        <f>(log(Sheet1!R19)-log(min(Sheet1!R$2:R$104)))/(log(max(Sheet1!R$2:R$104))-log(min(Sheet1!R$2:R$104)))</f>
        <v>0.6532198777</v>
      </c>
      <c r="S19" s="24">
        <f>(log(Sheet1!S19)-log(min(Sheet1!S$2:S$104)))/(log(max(Sheet1!S$2:S$104))-log(min(Sheet1!S$2:S$104)))</f>
        <v>0.5673592974</v>
      </c>
      <c r="T19" s="24">
        <f>(log(Sheet1!T19)-log(min(Sheet1!T$2:T$104)))/(log(max(Sheet1!T$2:T$104))-log(min(Sheet1!T$2:T$104)))</f>
        <v>0.2790026841</v>
      </c>
      <c r="U19" s="24">
        <f>(log(Sheet1!U19)-log(min(Sheet1!U$2:U$104)))/(log(max(Sheet1!U$2:U$104))-log(min(Sheet1!U$2:U$104)))</f>
        <v>0.3861660671</v>
      </c>
      <c r="V19" s="24"/>
      <c r="W19" s="24"/>
      <c r="X19" s="24"/>
      <c r="Y19" s="24"/>
      <c r="Z19" s="24"/>
      <c r="AA19" s="24"/>
      <c r="AB19" s="24"/>
    </row>
    <row r="20">
      <c r="A20" s="24" t="s">
        <v>59</v>
      </c>
      <c r="B20" s="25">
        <v>81624.0</v>
      </c>
      <c r="C20" s="24">
        <f>(log(Sheet1!C20)-log(min(Sheet1!$C$2:$C$104)))/(log(max(Sheet1!$C$2:$C$104))-log(min(Sheet1!$C$2:$C$104)))</f>
        <v>0.4895237695</v>
      </c>
      <c r="D20" s="24">
        <v>0.4</v>
      </c>
      <c r="E20" s="24">
        <v>0.485</v>
      </c>
      <c r="F20" s="24">
        <v>0.387097</v>
      </c>
      <c r="G20" s="24">
        <v>1.0</v>
      </c>
      <c r="H20" s="24">
        <f>(log(Sheet1!H20)-log(min(Sheet1!$H$2:$H$104)))/(log(max(Sheet1!$H$2:$H$104))-log(min(Sheet1!$H$2:$H$104)))</f>
        <v>0.9945511998</v>
      </c>
      <c r="I20" s="24">
        <f>(log(Sheet1!I20)-log(min(Sheet1!I$2:I$104)))/(log(max(Sheet1!I$2:I$104))-log(min(Sheet1!I$2:I$104)))</f>
        <v>0.7436778827</v>
      </c>
      <c r="J20" s="24">
        <f>(log(Sheet1!J20)-log(min(Sheet1!J$2:J$104)))/(log(max(Sheet1!J$2:J$104))-log(min(Sheet1!J$2:J$104)))</f>
        <v>0.8551315355</v>
      </c>
      <c r="K20" s="24">
        <f>(log(Sheet1!K20)-log(min(Sheet1!K$2:K$104)))/(log(max(Sheet1!K$2:K$104))-log(min(Sheet1!K$2:K$104)))</f>
        <v>0.6391351329</v>
      </c>
      <c r="L20" s="24">
        <f>(log(Sheet1!L20)-log(min(Sheet1!L$2:L$104)))/(log(max(Sheet1!L$2:L$104))-log(min(Sheet1!L$2:L$104)))</f>
        <v>0.5847927003</v>
      </c>
      <c r="M20" s="24">
        <f>(log(Sheet1!M20)-log(min(Sheet1!M$2:M$104)))/(log(max(Sheet1!M$2:M$104))-log(min(Sheet1!M$2:M$104)))</f>
        <v>0.8800030047</v>
      </c>
      <c r="N20" s="24">
        <f>(log(Sheet1!N20)-log(min(Sheet1!N$2:N$104)))/(log(max(Sheet1!N$2:N$104))-log(min(Sheet1!N$2:N$104)))</f>
        <v>0.7681088313</v>
      </c>
      <c r="O20" s="24">
        <f>(log(Sheet1!O20)-log(min(Sheet1!O$2:O$104)))/(log(max(Sheet1!O$2:O$104))-log(min(Sheet1!O$2:O$104)))</f>
        <v>0</v>
      </c>
      <c r="P20" s="24">
        <f>(log(Sheet1!P20)-log(min(Sheet1!P$2:P$104)))/(log(max(Sheet1!P$2:P$104))-log(min(Sheet1!P$2:P$104)))</f>
        <v>0.5205500795</v>
      </c>
      <c r="Q20" s="24">
        <f>(log(Sheet1!Q20)-log(min(Sheet1!Q$2:Q$104)))/(log(max(Sheet1!Q$2:Q$104))-log(min(Sheet1!Q$2:Q$104)))</f>
        <v>0.6827659525</v>
      </c>
      <c r="R20" s="24">
        <f>(log(Sheet1!R20)-log(min(Sheet1!R$2:R$104)))/(log(max(Sheet1!R$2:R$104))-log(min(Sheet1!R$2:R$104)))</f>
        <v>0.5364588354</v>
      </c>
      <c r="S20" s="24">
        <f>(log(Sheet1!S20)-log(min(Sheet1!S$2:S$104)))/(log(max(Sheet1!S$2:S$104))-log(min(Sheet1!S$2:S$104)))</f>
        <v>0.4034815496</v>
      </c>
      <c r="T20" s="24">
        <f>(log(Sheet1!T20)-log(min(Sheet1!T$2:T$104)))/(log(max(Sheet1!T$2:T$104))-log(min(Sheet1!T$2:T$104)))</f>
        <v>0.1427710628</v>
      </c>
      <c r="U20" s="24">
        <f>(log(Sheet1!U20)-log(min(Sheet1!U$2:U$104)))/(log(max(Sheet1!U$2:U$104))-log(min(Sheet1!U$2:U$104)))</f>
        <v>0.2725177288</v>
      </c>
      <c r="V20" s="24"/>
      <c r="W20" s="24"/>
      <c r="X20" s="24"/>
      <c r="Y20" s="24"/>
      <c r="Z20" s="24"/>
      <c r="AA20" s="24"/>
      <c r="AB20" s="24"/>
    </row>
    <row r="21">
      <c r="A21" s="24" t="s">
        <v>61</v>
      </c>
      <c r="B21" s="25">
        <v>29959.0</v>
      </c>
      <c r="C21" s="24">
        <f>(log(Sheet1!C21)-log(min(Sheet1!$C$2:$C$104)))/(log(max(Sheet1!$C$2:$C$104))-log(min(Sheet1!$C$2:$C$104)))</f>
        <v>0.3806688553</v>
      </c>
      <c r="D21" s="24">
        <v>1.0</v>
      </c>
      <c r="E21" s="24">
        <v>0.219</v>
      </c>
      <c r="F21" s="24">
        <v>0.951613</v>
      </c>
      <c r="G21" s="24">
        <v>0.087</v>
      </c>
      <c r="H21" s="24">
        <f>(log(Sheet1!H21)-log(min(Sheet1!$H$2:$H$104)))/(log(max(Sheet1!$H$2:$H$104))-log(min(Sheet1!$H$2:$H$104)))</f>
        <v>0.5282951605</v>
      </c>
      <c r="I21" s="24">
        <f>(log(Sheet1!I21)-log(min(Sheet1!I$2:I$104)))/(log(max(Sheet1!I$2:I$104))-log(min(Sheet1!I$2:I$104)))</f>
        <v>0.7981828977</v>
      </c>
      <c r="J21" s="24">
        <f>(log(Sheet1!J21)-log(min(Sheet1!J$2:J$104)))/(log(max(Sheet1!J$2:J$104))-log(min(Sheet1!J$2:J$104)))</f>
        <v>0.4625236649</v>
      </c>
      <c r="K21" s="24">
        <f>(log(Sheet1!K21)-log(min(Sheet1!K$2:K$104)))/(log(max(Sheet1!K$2:K$104))-log(min(Sheet1!K$2:K$104)))</f>
        <v>0.9534084229</v>
      </c>
      <c r="L21" s="24">
        <f>(log(Sheet1!L21)-log(min(Sheet1!L$2:L$104)))/(log(max(Sheet1!L$2:L$104))-log(min(Sheet1!L$2:L$104)))</f>
        <v>0.485793109</v>
      </c>
      <c r="M21" s="24">
        <f>(log(Sheet1!M21)-log(min(Sheet1!M$2:M$104)))/(log(max(Sheet1!M$2:M$104))-log(min(Sheet1!M$2:M$104)))</f>
        <v>0.6884915846</v>
      </c>
      <c r="N21" s="24">
        <f>(log(Sheet1!N21)-log(min(Sheet1!N$2:N$104)))/(log(max(Sheet1!N$2:N$104))-log(min(Sheet1!N$2:N$104)))</f>
        <v>0.5053202691</v>
      </c>
      <c r="O21" s="24">
        <f>(log(Sheet1!O21)-log(min(Sheet1!O$2:O$104)))/(log(max(Sheet1!O$2:O$104))-log(min(Sheet1!O$2:O$104)))</f>
        <v>0.4741205957</v>
      </c>
      <c r="P21" s="24">
        <f>(log(Sheet1!P21)-log(min(Sheet1!P$2:P$104)))/(log(max(Sheet1!P$2:P$104))-log(min(Sheet1!P$2:P$104)))</f>
        <v>0.6002322863</v>
      </c>
      <c r="Q21" s="24">
        <f>(log(Sheet1!Q21)-log(min(Sheet1!Q$2:Q$104)))/(log(max(Sheet1!Q$2:Q$104))-log(min(Sheet1!Q$2:Q$104)))</f>
        <v>0.397419718</v>
      </c>
      <c r="R21" s="24">
        <f>(log(Sheet1!R21)-log(min(Sheet1!R$2:R$104)))/(log(max(Sheet1!R$2:R$104))-log(min(Sheet1!R$2:R$104)))</f>
        <v>0.6919032612</v>
      </c>
      <c r="S21" s="24">
        <f>(log(Sheet1!S21)-log(min(Sheet1!S$2:S$104)))/(log(max(Sheet1!S$2:S$104))-log(min(Sheet1!S$2:S$104)))</f>
        <v>0.4431045193</v>
      </c>
      <c r="T21" s="24">
        <f>(log(Sheet1!T21)-log(min(Sheet1!T$2:T$104)))/(log(max(Sheet1!T$2:T$104))-log(min(Sheet1!T$2:T$104)))</f>
        <v>0.3511356661</v>
      </c>
      <c r="U21" s="24">
        <f>(log(Sheet1!U21)-log(min(Sheet1!U$2:U$104)))/(log(max(Sheet1!U$2:U$104))-log(min(Sheet1!U$2:U$104)))</f>
        <v>0.5544852909</v>
      </c>
      <c r="V21" s="24"/>
      <c r="W21" s="24"/>
      <c r="X21" s="24"/>
      <c r="Y21" s="24"/>
      <c r="Z21" s="24"/>
      <c r="AA21" s="24"/>
      <c r="AB21" s="24"/>
    </row>
    <row r="22">
      <c r="A22" s="24" t="s">
        <v>63</v>
      </c>
      <c r="B22" s="25">
        <v>13891.0</v>
      </c>
      <c r="C22" s="24">
        <f>(log(Sheet1!C22)-log(min(Sheet1!$C$2:$C$104)))/(log(max(Sheet1!$C$2:$C$104))-log(min(Sheet1!$C$2:$C$104)))</f>
        <v>0.413109268</v>
      </c>
      <c r="D22" s="24">
        <v>1.0</v>
      </c>
      <c r="E22" s="24">
        <v>0.532</v>
      </c>
      <c r="F22" s="24">
        <v>0.66129</v>
      </c>
      <c r="G22" s="24">
        <v>0.401</v>
      </c>
      <c r="H22" s="24">
        <f>(log(Sheet1!H22)-log(min(Sheet1!$H$2:$H$104)))/(log(max(Sheet1!$H$2:$H$104))-log(min(Sheet1!$H$2:$H$104)))</f>
        <v>0.4176231063</v>
      </c>
      <c r="I22" s="24">
        <f>(log(Sheet1!I22)-log(min(Sheet1!I$2:I$104)))/(log(max(Sheet1!I$2:I$104))-log(min(Sheet1!I$2:I$104)))</f>
        <v>0.5764700261</v>
      </c>
      <c r="J22" s="24">
        <f>(log(Sheet1!J22)-log(min(Sheet1!J$2:J$104)))/(log(max(Sheet1!J$2:J$104))-log(min(Sheet1!J$2:J$104)))</f>
        <v>0.4695867161</v>
      </c>
      <c r="K22" s="24">
        <f>(log(Sheet1!K22)-log(min(Sheet1!K$2:K$104)))/(log(max(Sheet1!K$2:K$104))-log(min(Sheet1!K$2:K$104)))</f>
        <v>0.1871412772</v>
      </c>
      <c r="L22" s="24">
        <f>(log(Sheet1!L22)-log(min(Sheet1!L$2:L$104)))/(log(max(Sheet1!L$2:L$104))-log(min(Sheet1!L$2:L$104)))</f>
        <v>0.6720062388</v>
      </c>
      <c r="M22" s="24">
        <f>(log(Sheet1!M22)-log(min(Sheet1!M$2:M$104)))/(log(max(Sheet1!M$2:M$104))-log(min(Sheet1!M$2:M$104)))</f>
        <v>0.8238582424</v>
      </c>
      <c r="N22" s="24">
        <f>(log(Sheet1!N22)-log(min(Sheet1!N$2:N$104)))/(log(max(Sheet1!N$2:N$104))-log(min(Sheet1!N$2:N$104)))</f>
        <v>0.4190580552</v>
      </c>
      <c r="O22" s="24">
        <f>(log(Sheet1!O22)-log(min(Sheet1!O$2:O$104)))/(log(max(Sheet1!O$2:O$104))-log(min(Sheet1!O$2:O$104)))</f>
        <v>0.44016491</v>
      </c>
      <c r="P22" s="24">
        <f>(log(Sheet1!P22)-log(min(Sheet1!P$2:P$104)))/(log(max(Sheet1!P$2:P$104))-log(min(Sheet1!P$2:P$104)))</f>
        <v>0.7182225443</v>
      </c>
      <c r="Q22" s="24">
        <f>(log(Sheet1!Q22)-log(min(Sheet1!Q$2:Q$104)))/(log(max(Sheet1!Q$2:Q$104))-log(min(Sheet1!Q$2:Q$104)))</f>
        <v>0.6686253498</v>
      </c>
      <c r="R22" s="24">
        <f>(log(Sheet1!R22)-log(min(Sheet1!R$2:R$104)))/(log(max(Sheet1!R$2:R$104))-log(min(Sheet1!R$2:R$104)))</f>
        <v>0.8040257578</v>
      </c>
      <c r="S22" s="24">
        <f>(log(Sheet1!S22)-log(min(Sheet1!S$2:S$104)))/(log(max(Sheet1!S$2:S$104))-log(min(Sheet1!S$2:S$104)))</f>
        <v>0.8196672567</v>
      </c>
      <c r="T22" s="24">
        <f>(log(Sheet1!T22)-log(min(Sheet1!T$2:T$104)))/(log(max(Sheet1!T$2:T$104))-log(min(Sheet1!T$2:T$104)))</f>
        <v>0.2505471538</v>
      </c>
      <c r="U22" s="24">
        <f>(log(Sheet1!U22)-log(min(Sheet1!U$2:U$104)))/(log(max(Sheet1!U$2:U$104))-log(min(Sheet1!U$2:U$104)))</f>
        <v>0.3861660671</v>
      </c>
      <c r="V22" s="24"/>
      <c r="W22" s="24"/>
      <c r="X22" s="24"/>
      <c r="Y22" s="24"/>
      <c r="Z22" s="24"/>
      <c r="AA22" s="24"/>
      <c r="AB22" s="24"/>
    </row>
    <row r="23">
      <c r="A23" s="24" t="s">
        <v>65</v>
      </c>
      <c r="B23" s="25">
        <v>11864.0</v>
      </c>
      <c r="C23" s="24">
        <f>(log(Sheet1!C23)-log(min(Sheet1!$C$2:$C$104)))/(log(max(Sheet1!$C$2:$C$104))-log(min(Sheet1!$C$2:$C$104)))</f>
        <v>0.3523542091</v>
      </c>
      <c r="D23" s="24">
        <v>1.0</v>
      </c>
      <c r="E23" s="24">
        <v>0.176</v>
      </c>
      <c r="F23" s="24">
        <v>0.903226</v>
      </c>
      <c r="G23" s="24">
        <v>0.132</v>
      </c>
      <c r="H23" s="24">
        <f>(log(Sheet1!H23)-log(min(Sheet1!$H$2:$H$104)))/(log(max(Sheet1!$H$2:$H$104))-log(min(Sheet1!$H$2:$H$104)))</f>
        <v>0.6700592352</v>
      </c>
      <c r="I23" s="24">
        <f>(log(Sheet1!I23)-log(min(Sheet1!I$2:I$104)))/(log(max(Sheet1!I$2:I$104))-log(min(Sheet1!I$2:I$104)))</f>
        <v>0.7161988555</v>
      </c>
      <c r="J23" s="24">
        <f>(log(Sheet1!J23)-log(min(Sheet1!J$2:J$104)))/(log(max(Sheet1!J$2:J$104))-log(min(Sheet1!J$2:J$104)))</f>
        <v>0.6118366928</v>
      </c>
      <c r="K23" s="24">
        <f>(log(Sheet1!K23)-log(min(Sheet1!K$2:K$104)))/(log(max(Sheet1!K$2:K$104))-log(min(Sheet1!K$2:K$104)))</f>
        <v>0.9673347995</v>
      </c>
      <c r="L23" s="24">
        <f>(log(Sheet1!L23)-log(min(Sheet1!L$2:L$104)))/(log(max(Sheet1!L$2:L$104))-log(min(Sheet1!L$2:L$104)))</f>
        <v>0.4135206224</v>
      </c>
      <c r="M23" s="24">
        <f>(log(Sheet1!M23)-log(min(Sheet1!M$2:M$104)))/(log(max(Sheet1!M$2:M$104))-log(min(Sheet1!M$2:M$104)))</f>
        <v>0.6170706292</v>
      </c>
      <c r="N23" s="27">
        <v>0.5</v>
      </c>
      <c r="O23" s="24">
        <f>(log(Sheet1!O23)-log(min(Sheet1!O$2:O$104)))/(log(max(Sheet1!O$2:O$104))-log(min(Sheet1!O$2:O$104)))</f>
        <v>0.4741205957</v>
      </c>
      <c r="P23" s="24">
        <f>(log(Sheet1!P23)-log(min(Sheet1!P$2:P$104)))/(log(max(Sheet1!P$2:P$104))-log(min(Sheet1!P$2:P$104)))</f>
        <v>0.7522792217</v>
      </c>
      <c r="Q23" s="24">
        <f>(log(Sheet1!Q23)-log(min(Sheet1!Q$2:Q$104)))/(log(max(Sheet1!Q$2:Q$104))-log(min(Sheet1!Q$2:Q$104)))</f>
        <v>0.3505587674</v>
      </c>
      <c r="R23" s="24">
        <f>(log(Sheet1!R23)-log(min(Sheet1!R$2:R$104)))/(log(max(Sheet1!R$2:R$104))-log(min(Sheet1!R$2:R$104)))</f>
        <v>0.6730222601</v>
      </c>
      <c r="S23" s="24">
        <f>(log(Sheet1!S23)-log(min(Sheet1!S$2:S$104)))/(log(max(Sheet1!S$2:S$104))-log(min(Sheet1!S$2:S$104)))</f>
        <v>0.4982073774</v>
      </c>
      <c r="T23" s="24">
        <f>(log(Sheet1!T23)-log(min(Sheet1!T$2:T$104)))/(log(max(Sheet1!T$2:T$104))-log(min(Sheet1!T$2:T$104)))</f>
        <v>0.2652659213</v>
      </c>
      <c r="U23" s="24">
        <f>(log(Sheet1!U23)-log(min(Sheet1!U$2:U$104)))/(log(max(Sheet1!U$2:U$104))-log(min(Sheet1!U$2:U$104)))</f>
        <v>0.4817385287</v>
      </c>
      <c r="V23" s="24"/>
      <c r="W23" s="24"/>
      <c r="X23" s="24"/>
      <c r="Y23" s="24"/>
      <c r="Z23" s="24"/>
      <c r="AA23" s="24"/>
      <c r="AB23" s="24"/>
    </row>
    <row r="24">
      <c r="A24" s="24" t="s">
        <v>68</v>
      </c>
      <c r="B24" s="25">
        <v>101378.0</v>
      </c>
      <c r="C24" s="24">
        <f>(log(Sheet1!C24)-log(min(Sheet1!$C$2:$C$104)))/(log(max(Sheet1!$C$2:$C$104))-log(min(Sheet1!$C$2:$C$104)))</f>
        <v>0.5899539592</v>
      </c>
      <c r="D24" s="24">
        <v>0.8</v>
      </c>
      <c r="E24" s="24">
        <v>0.459</v>
      </c>
      <c r="F24" s="24">
        <v>0.774194</v>
      </c>
      <c r="G24" s="24">
        <v>0.183</v>
      </c>
      <c r="H24" s="24">
        <f>(log(Sheet1!H24)-log(min(Sheet1!$H$2:$H$104)))/(log(max(Sheet1!$H$2:$H$104))-log(min(Sheet1!$H$2:$H$104)))</f>
        <v>0.3937461526</v>
      </c>
      <c r="I24" s="24">
        <f>(log(Sheet1!I24)-log(min(Sheet1!I$2:I$104)))/(log(max(Sheet1!I$2:I$104))-log(min(Sheet1!I$2:I$104)))</f>
        <v>0.5821354994</v>
      </c>
      <c r="J24" s="24">
        <f>(log(Sheet1!J24)-log(min(Sheet1!J$2:J$104)))/(log(max(Sheet1!J$2:J$104))-log(min(Sheet1!J$2:J$104)))</f>
        <v>0.3839390778</v>
      </c>
      <c r="K24" s="24">
        <f>(log(Sheet1!K24)-log(min(Sheet1!K$2:K$104)))/(log(max(Sheet1!K$2:K$104))-log(min(Sheet1!K$2:K$104)))</f>
        <v>0.8599438753</v>
      </c>
      <c r="L24" s="24">
        <f>(log(Sheet1!L24)-log(min(Sheet1!L$2:L$104)))/(log(max(Sheet1!L$2:L$104))-log(min(Sheet1!L$2:L$104)))</f>
        <v>0.3708967513</v>
      </c>
      <c r="M24" s="24">
        <f>(log(Sheet1!M24)-log(min(Sheet1!M$2:M$104)))/(log(max(Sheet1!M$2:M$104))-log(min(Sheet1!M$2:M$104)))</f>
        <v>0.8690101905</v>
      </c>
      <c r="N24" s="24">
        <f>(log(Sheet1!N24)-log(min(Sheet1!N$2:N$104)))/(log(max(Sheet1!N$2:N$104))-log(min(Sheet1!N$2:N$104)))</f>
        <v>0.8659940517</v>
      </c>
      <c r="O24" s="24">
        <f>(log(Sheet1!O24)-log(min(Sheet1!O$2:O$104)))/(log(max(Sheet1!O$2:O$104))-log(min(Sheet1!O$2:O$104)))</f>
        <v>0.44016491</v>
      </c>
      <c r="P24" s="24">
        <f>(log(Sheet1!P24)-log(min(Sheet1!P$2:P$104)))/(log(max(Sheet1!P$2:P$104))-log(min(Sheet1!P$2:P$104)))</f>
        <v>0.4746929366</v>
      </c>
      <c r="Q24" s="24">
        <f>(log(Sheet1!Q24)-log(min(Sheet1!Q$2:Q$104)))/(log(max(Sheet1!Q$2:Q$104))-log(min(Sheet1!Q$2:Q$104)))</f>
        <v>0.391647885</v>
      </c>
      <c r="R24" s="24">
        <f>(log(Sheet1!R24)-log(min(Sheet1!R$2:R$104)))/(log(max(Sheet1!R$2:R$104))-log(min(Sheet1!R$2:R$104)))</f>
        <v>0.6429441812</v>
      </c>
      <c r="S24" s="24">
        <f>(log(Sheet1!S24)-log(min(Sheet1!S$2:S$104)))/(log(max(Sheet1!S$2:S$104))-log(min(Sheet1!S$2:S$104)))</f>
        <v>0.7552108067</v>
      </c>
      <c r="T24" s="24">
        <f>(log(Sheet1!T24)-log(min(Sheet1!T$2:T$104)))/(log(max(Sheet1!T$2:T$104))-log(min(Sheet1!T$2:T$104)))</f>
        <v>0.3039999993</v>
      </c>
      <c r="U24" s="24">
        <f>(log(Sheet1!U24)-log(min(Sheet1!U$2:U$104)))/(log(max(Sheet1!U$2:U$104))-log(min(Sheet1!U$2:U$104)))</f>
        <v>0.4012192712</v>
      </c>
      <c r="V24" s="24"/>
      <c r="W24" s="24"/>
      <c r="X24" s="24"/>
      <c r="Y24" s="24"/>
      <c r="Z24" s="24"/>
      <c r="AA24" s="24"/>
      <c r="AB24" s="24"/>
    </row>
    <row r="25">
      <c r="A25" s="24" t="s">
        <v>70</v>
      </c>
      <c r="B25" s="25">
        <v>50121.0</v>
      </c>
      <c r="C25" s="24">
        <f>(log(Sheet1!C25)-log(min(Sheet1!$C$2:$C$104)))/(log(max(Sheet1!$C$2:$C$104))-log(min(Sheet1!$C$2:$C$104)))</f>
        <v>0.3482707164</v>
      </c>
      <c r="D25" s="24">
        <v>1.0</v>
      </c>
      <c r="E25" s="24">
        <v>0.562</v>
      </c>
      <c r="F25" s="24">
        <v>0.758065</v>
      </c>
      <c r="G25" s="24">
        <v>0.15</v>
      </c>
      <c r="H25" s="24">
        <f>(log(Sheet1!H25)-log(min(Sheet1!$H$2:$H$104)))/(log(max(Sheet1!$H$2:$H$104))-log(min(Sheet1!$H$2:$H$104)))</f>
        <v>0.3220353584</v>
      </c>
      <c r="I25" s="24">
        <f>(log(Sheet1!I25)-log(min(Sheet1!I$2:I$104)))/(log(max(Sheet1!I$2:I$104))-log(min(Sheet1!I$2:I$104)))</f>
        <v>0.5251871034</v>
      </c>
      <c r="J25" s="24">
        <f>(log(Sheet1!J25)-log(min(Sheet1!J$2:J$104)))/(log(max(Sheet1!J$2:J$104))-log(min(Sheet1!J$2:J$104)))</f>
        <v>0.1921330126</v>
      </c>
      <c r="K25" s="24">
        <f>(log(Sheet1!K25)-log(min(Sheet1!K$2:K$104)))/(log(max(Sheet1!K$2:K$104))-log(min(Sheet1!K$2:K$104)))</f>
        <v>0.3430699497</v>
      </c>
      <c r="L25" s="24">
        <f>(log(Sheet1!L25)-log(min(Sheet1!L$2:L$104)))/(log(max(Sheet1!L$2:L$104))-log(min(Sheet1!L$2:L$104)))</f>
        <v>0.5266648131</v>
      </c>
      <c r="M25" s="24">
        <f>(log(Sheet1!M25)-log(min(Sheet1!M$2:M$104)))/(log(max(Sheet1!M$2:M$104))-log(min(Sheet1!M$2:M$104)))</f>
        <v>0.8918754166</v>
      </c>
      <c r="N25" s="24">
        <f>(log(Sheet1!N25)-log(min(Sheet1!N$2:N$104)))/(log(max(Sheet1!N$2:N$104))-log(min(Sheet1!N$2:N$104)))</f>
        <v>0.586101709</v>
      </c>
      <c r="O25" s="24">
        <f>(log(Sheet1!O25)-log(min(Sheet1!O$2:O$104)))/(log(max(Sheet1!O$2:O$104))-log(min(Sheet1!O$2:O$104)))</f>
        <v>0.369695588</v>
      </c>
      <c r="P25" s="24">
        <f>(log(Sheet1!P25)-log(min(Sheet1!P$2:P$104)))/(log(max(Sheet1!P$2:P$104))-log(min(Sheet1!P$2:P$104)))</f>
        <v>0.5681009132</v>
      </c>
      <c r="Q25" s="24">
        <f>(log(Sheet1!Q25)-log(min(Sheet1!Q$2:Q$104)))/(log(max(Sheet1!Q$2:Q$104))-log(min(Sheet1!Q$2:Q$104)))</f>
        <v>0.5186821887</v>
      </c>
      <c r="R25" s="24">
        <f>(log(Sheet1!R25)-log(min(Sheet1!R$2:R$104)))/(log(max(Sheet1!R$2:R$104))-log(min(Sheet1!R$2:R$104)))</f>
        <v>0.6429441812</v>
      </c>
      <c r="S25" s="24">
        <f>(log(Sheet1!S25)-log(min(Sheet1!S$2:S$104)))/(log(max(Sheet1!S$2:S$104))-log(min(Sheet1!S$2:S$104)))</f>
        <v>0.8106022087</v>
      </c>
      <c r="T25" s="24">
        <f>(log(Sheet1!T25)-log(min(Sheet1!T$2:T$104)))/(log(max(Sheet1!T$2:T$104))-log(min(Sheet1!T$2:T$104)))</f>
        <v>0.2580379831</v>
      </c>
      <c r="U25" s="24">
        <f>(log(Sheet1!U25)-log(min(Sheet1!U$2:U$104)))/(log(max(Sheet1!U$2:U$104))-log(min(Sheet1!U$2:U$104)))</f>
        <v>0.3374837485</v>
      </c>
      <c r="V25" s="24"/>
      <c r="W25" s="24"/>
      <c r="X25" s="24"/>
      <c r="Y25" s="24"/>
      <c r="Z25" s="24"/>
      <c r="AA25" s="24"/>
      <c r="AB25" s="24"/>
    </row>
    <row r="26">
      <c r="A26" s="24" t="s">
        <v>72</v>
      </c>
      <c r="B26" s="25">
        <v>102391.0</v>
      </c>
      <c r="C26" s="24">
        <f>(log(Sheet1!C26)-log(min(Sheet1!$C$2:$C$104)))/(log(max(Sheet1!$C$2:$C$104))-log(min(Sheet1!$C$2:$C$104)))</f>
        <v>0.5191596198</v>
      </c>
      <c r="D26" s="24">
        <v>0.8</v>
      </c>
      <c r="E26" s="24">
        <v>0.537</v>
      </c>
      <c r="F26" s="24">
        <v>0.66129</v>
      </c>
      <c r="G26" s="24">
        <v>0.448</v>
      </c>
      <c r="H26" s="24">
        <f>(log(Sheet1!H26)-log(min(Sheet1!$H$2:$H$104)))/(log(max(Sheet1!$H$2:$H$104))-log(min(Sheet1!$H$2:$H$104)))</f>
        <v>0.4847790224</v>
      </c>
      <c r="I26" s="24">
        <f>(log(Sheet1!I26)-log(min(Sheet1!I$2:I$104)))/(log(max(Sheet1!I$2:I$104))-log(min(Sheet1!I$2:I$104)))</f>
        <v>0.8198181107</v>
      </c>
      <c r="J26" s="24">
        <f>(log(Sheet1!J26)-log(min(Sheet1!J$2:J$104)))/(log(max(Sheet1!J$2:J$104))-log(min(Sheet1!J$2:J$104)))</f>
        <v>0.5036528004</v>
      </c>
      <c r="K26" s="24">
        <f>(log(Sheet1!K26)-log(min(Sheet1!K$2:K$104)))/(log(max(Sheet1!K$2:K$104))-log(min(Sheet1!K$2:K$104)))</f>
        <v>0.2270476558</v>
      </c>
      <c r="L26" s="24">
        <f>(log(Sheet1!L26)-log(min(Sheet1!L$2:L$104)))/(log(max(Sheet1!L$2:L$104))-log(min(Sheet1!L$2:L$104)))</f>
        <v>0.6796999497</v>
      </c>
      <c r="M26" s="24">
        <f>(log(Sheet1!M26)-log(min(Sheet1!M$2:M$104)))/(log(max(Sheet1!M$2:M$104))-log(min(Sheet1!M$2:M$104)))</f>
        <v>0.8642817045</v>
      </c>
      <c r="N26" s="24">
        <f>(log(Sheet1!N26)-log(min(Sheet1!N$2:N$104)))/(log(max(Sheet1!N$2:N$104))-log(min(Sheet1!N$2:N$104)))</f>
        <v>0.4190580552</v>
      </c>
      <c r="O26" s="24">
        <f>(log(Sheet1!O26)-log(min(Sheet1!O$2:O$104)))/(log(max(Sheet1!O$2:O$104))-log(min(Sheet1!O$2:O$104)))</f>
        <v>0.44016491</v>
      </c>
      <c r="P26" s="24">
        <f>(log(Sheet1!P26)-log(min(Sheet1!P$2:P$104)))/(log(max(Sheet1!P$2:P$104))-log(min(Sheet1!P$2:P$104)))</f>
        <v>0.4570842104</v>
      </c>
      <c r="Q26" s="24">
        <f>(log(Sheet1!Q26)-log(min(Sheet1!Q$2:Q$104)))/(log(max(Sheet1!Q$2:Q$104))-log(min(Sheet1!Q$2:Q$104)))</f>
        <v>0.1930061932</v>
      </c>
      <c r="R26" s="24">
        <f>(log(Sheet1!R26)-log(min(Sheet1!R$2:R$104)))/(log(max(Sheet1!R$2:R$104))-log(min(Sheet1!R$2:R$104)))</f>
        <v>0.7597052235</v>
      </c>
      <c r="S26" s="24">
        <f>(log(Sheet1!S26)-log(min(Sheet1!S$2:S$104)))/(log(max(Sheet1!S$2:S$104))-log(min(Sheet1!S$2:S$104)))</f>
        <v>0.6489066844</v>
      </c>
      <c r="T26" s="24">
        <f>(log(Sheet1!T26)-log(min(Sheet1!T$2:T$104)))/(log(max(Sheet1!T$2:T$104))-log(min(Sheet1!T$2:T$104)))</f>
        <v>0.2580379831</v>
      </c>
      <c r="U26" s="24">
        <f>(log(Sheet1!U26)-log(min(Sheet1!U$2:U$104)))/(log(max(Sheet1!U$2:U$104))-log(min(Sheet1!U$2:U$104)))</f>
        <v>0.4565701611</v>
      </c>
      <c r="V26" s="24"/>
      <c r="W26" s="24"/>
      <c r="X26" s="24"/>
      <c r="Y26" s="24"/>
      <c r="Z26" s="24"/>
      <c r="AA26" s="24"/>
      <c r="AB26" s="24"/>
    </row>
    <row r="27">
      <c r="A27" s="24" t="s">
        <v>73</v>
      </c>
      <c r="B27" s="25">
        <v>337890.0</v>
      </c>
      <c r="C27" s="24">
        <f>(log(Sheet1!C27)-log(min(Sheet1!$C$2:$C$104)))/(log(max(Sheet1!$C$2:$C$104))-log(min(Sheet1!$C$2:$C$104)))</f>
        <v>0.7402439607</v>
      </c>
      <c r="D27" s="24">
        <v>0.4</v>
      </c>
      <c r="E27" s="24">
        <v>0.685</v>
      </c>
      <c r="F27" s="24">
        <v>0.370968</v>
      </c>
      <c r="G27" s="24">
        <v>0.204</v>
      </c>
      <c r="H27" s="24">
        <f>(log(Sheet1!H27)-log(min(Sheet1!$H$2:$H$104)))/(log(max(Sheet1!$H$2:$H$104))-log(min(Sheet1!$H$2:$H$104)))</f>
        <v>0.4052278851</v>
      </c>
      <c r="I27" s="24">
        <f>(log(Sheet1!I27)-log(min(Sheet1!I$2:I$104)))/(log(max(Sheet1!I$2:I$104))-log(min(Sheet1!I$2:I$104)))</f>
        <v>0.8628071518</v>
      </c>
      <c r="J27" s="24">
        <f>(log(Sheet1!J27)-log(min(Sheet1!J$2:J$104)))/(log(max(Sheet1!J$2:J$104))-log(min(Sheet1!J$2:J$104)))</f>
        <v>0.5295193112</v>
      </c>
      <c r="K27" s="24">
        <f>(log(Sheet1!K27)-log(min(Sheet1!K$2:K$104)))/(log(max(Sheet1!K$2:K$104))-log(min(Sheet1!K$2:K$104)))</f>
        <v>0.560895636</v>
      </c>
      <c r="L27" s="24">
        <f>(log(Sheet1!L27)-log(min(Sheet1!L$2:L$104)))/(log(max(Sheet1!L$2:L$104))-log(min(Sheet1!L$2:L$104)))</f>
        <v>0.4166739139</v>
      </c>
      <c r="M27" s="24">
        <f>(log(Sheet1!M27)-log(min(Sheet1!M$2:M$104)))/(log(max(Sheet1!M$2:M$104))-log(min(Sheet1!M$2:M$104)))</f>
        <v>0.8100795979</v>
      </c>
      <c r="N27" s="24">
        <f>(log(Sheet1!N27)-log(min(Sheet1!N$2:N$104)))/(log(max(Sheet1!N$2:N$104))-log(min(Sheet1!N$2:N$104)))</f>
        <v>0.643489495</v>
      </c>
      <c r="O27" s="24">
        <f>(log(Sheet1!O27)-log(min(Sheet1!O$2:O$104)))/(log(max(Sheet1!O$2:O$104))-log(min(Sheet1!O$2:O$104)))</f>
        <v>0.44016491</v>
      </c>
      <c r="P27" s="24">
        <f>(log(Sheet1!P27)-log(min(Sheet1!P$2:P$104)))/(log(max(Sheet1!P$2:P$104))-log(min(Sheet1!P$2:P$104)))</f>
        <v>0.3138305743</v>
      </c>
      <c r="Q27" s="24">
        <f>(log(Sheet1!Q27)-log(min(Sheet1!Q$2:Q$104)))/(log(max(Sheet1!Q$2:Q$104))-log(min(Sheet1!Q$2:Q$104)))</f>
        <v>0.2062897763</v>
      </c>
      <c r="R27" s="24">
        <f>(log(Sheet1!R27)-log(min(Sheet1!R$2:R$104)))/(log(max(Sheet1!R$2:R$104))-log(min(Sheet1!R$2:R$104)))</f>
        <v>0.9732297498</v>
      </c>
      <c r="S27" s="24">
        <f>(log(Sheet1!S27)-log(min(Sheet1!S$2:S$104)))/(log(max(Sheet1!S$2:S$104))-log(min(Sheet1!S$2:S$104)))</f>
        <v>0.7831240222</v>
      </c>
      <c r="T27" s="24">
        <f>(log(Sheet1!T27)-log(min(Sheet1!T$2:T$104)))/(log(max(Sheet1!T$2:T$104))-log(min(Sheet1!T$2:T$104)))</f>
        <v>0.3647213653</v>
      </c>
      <c r="U27" s="24">
        <f>(log(Sheet1!U27)-log(min(Sheet1!U$2:U$104)))/(log(max(Sheet1!U$2:U$104))-log(min(Sheet1!U$2:U$104)))</f>
        <v>0.6252845513</v>
      </c>
      <c r="V27" s="24"/>
      <c r="W27" s="24"/>
      <c r="X27" s="24"/>
      <c r="Y27" s="24"/>
      <c r="Z27" s="24"/>
      <c r="AA27" s="24"/>
      <c r="AB27" s="24"/>
    </row>
    <row r="28">
      <c r="A28" s="24" t="s">
        <v>75</v>
      </c>
      <c r="B28" s="25">
        <v>31593.0</v>
      </c>
      <c r="C28" s="24">
        <f>(log(Sheet1!C28)-log(min(Sheet1!$C$2:$C$104)))/(log(max(Sheet1!$C$2:$C$104))-log(min(Sheet1!$C$2:$C$104)))</f>
        <v>0.4924734063</v>
      </c>
      <c r="D28" s="24">
        <v>0.2</v>
      </c>
      <c r="E28" s="24">
        <v>0.293</v>
      </c>
      <c r="F28" s="24">
        <v>0.887097</v>
      </c>
      <c r="G28" s="24">
        <v>0.582</v>
      </c>
      <c r="H28" s="24">
        <f>(log(Sheet1!H28)-log(min(Sheet1!$H$2:$H$104)))/(log(max(Sheet1!$H$2:$H$104))-log(min(Sheet1!$H$2:$H$104)))</f>
        <v>0.847778515</v>
      </c>
      <c r="I28" s="24">
        <f>(log(Sheet1!I28)-log(min(Sheet1!I$2:I$104)))/(log(max(Sheet1!I$2:I$104))-log(min(Sheet1!I$2:I$104)))</f>
        <v>0.9318784332</v>
      </c>
      <c r="J28" s="24">
        <f>(log(Sheet1!J28)-log(min(Sheet1!J$2:J$104)))/(log(max(Sheet1!J$2:J$104))-log(min(Sheet1!J$2:J$104)))</f>
        <v>0.572154238</v>
      </c>
      <c r="K28" s="24">
        <f>(log(Sheet1!K28)-log(min(Sheet1!K$2:K$104)))/(log(max(Sheet1!K$2:K$104))-log(min(Sheet1!K$2:K$104)))</f>
        <v>0.2082809256</v>
      </c>
      <c r="L28" s="24">
        <f>(log(Sheet1!L28)-log(min(Sheet1!L$2:L$104)))/(log(max(Sheet1!L$2:L$104))-log(min(Sheet1!L$2:L$104)))</f>
        <v>0.8347328585</v>
      </c>
      <c r="M28" s="24">
        <f>(log(Sheet1!M28)-log(min(Sheet1!M$2:M$104)))/(log(max(Sheet1!M$2:M$104))-log(min(Sheet1!M$2:M$104)))</f>
        <v>0.7395429279</v>
      </c>
      <c r="N28" s="24">
        <f>(log(Sheet1!N28)-log(min(Sheet1!N$2:N$104)))/(log(max(Sheet1!N$2:N$104))-log(min(Sheet1!N$2:N$104)))</f>
        <v>0.4842969781</v>
      </c>
      <c r="O28" s="24">
        <f>(log(Sheet1!O28)-log(min(Sheet1!O$2:O$104)))/(log(max(Sheet1!O$2:O$104))-log(min(Sheet1!O$2:O$104)))</f>
        <v>0</v>
      </c>
      <c r="P28" s="24">
        <f>(log(Sheet1!P28)-log(min(Sheet1!P$2:P$104)))/(log(max(Sheet1!P$2:P$104))-log(min(Sheet1!P$2:P$104)))</f>
        <v>0.7491615809</v>
      </c>
      <c r="Q28" s="24">
        <f>(log(Sheet1!Q28)-log(min(Sheet1!Q$2:Q$104)))/(log(max(Sheet1!Q$2:Q$104))-log(min(Sheet1!Q$2:Q$104)))</f>
        <v>1</v>
      </c>
      <c r="R28" s="24">
        <f>(log(Sheet1!R28)-log(min(Sheet1!R$2:R$104)))/(log(max(Sheet1!R$2:R$104))-log(min(Sheet1!R$2:R$104)))</f>
        <v>0.5364588354</v>
      </c>
      <c r="S28" s="24">
        <f>(log(Sheet1!S28)-log(min(Sheet1!S$2:S$104)))/(log(max(Sheet1!S$2:S$104))-log(min(Sheet1!S$2:S$104)))</f>
        <v>0.5932503346</v>
      </c>
      <c r="T28" s="24">
        <f>(log(Sheet1!T28)-log(min(Sheet1!T$2:T$104)))/(log(max(Sheet1!T$2:T$104))-log(min(Sheet1!T$2:T$104)))</f>
        <v>0.2262867807</v>
      </c>
      <c r="U28" s="24">
        <f>(log(Sheet1!U28)-log(min(Sheet1!U$2:U$104)))/(log(max(Sheet1!U$2:U$104))-log(min(Sheet1!U$2:U$104)))</f>
        <v>0.8145847697</v>
      </c>
      <c r="V28" s="24"/>
      <c r="W28" s="24"/>
      <c r="X28" s="24"/>
      <c r="Y28" s="24"/>
      <c r="Z28" s="24"/>
      <c r="AA28" s="24"/>
      <c r="AB28" s="24"/>
    </row>
    <row r="29">
      <c r="A29" s="24" t="s">
        <v>76</v>
      </c>
      <c r="B29" s="25">
        <v>38110.0</v>
      </c>
      <c r="C29" s="24">
        <f>(log(Sheet1!C29)-log(min(Sheet1!$C$2:$C$104)))/(log(max(Sheet1!$C$2:$C$104))-log(min(Sheet1!$C$2:$C$104)))</f>
        <v>0.4525959165</v>
      </c>
      <c r="D29" s="24">
        <v>0.8</v>
      </c>
      <c r="E29" s="24">
        <v>0.246</v>
      </c>
      <c r="F29" s="24">
        <v>0.645161</v>
      </c>
      <c r="G29" s="24">
        <v>0.928</v>
      </c>
      <c r="H29" s="24">
        <f>(log(Sheet1!H29)-log(min(Sheet1!$H$2:$H$104)))/(log(max(Sheet1!$H$2:$H$104))-log(min(Sheet1!$H$2:$H$104)))</f>
        <v>0.9087190732</v>
      </c>
      <c r="I29" s="24">
        <f>(log(Sheet1!I29)-log(min(Sheet1!I$2:I$104)))/(log(max(Sheet1!I$2:I$104))-log(min(Sheet1!I$2:I$104)))</f>
        <v>1</v>
      </c>
      <c r="J29" s="24">
        <f>(log(Sheet1!J29)-log(min(Sheet1!J$2:J$104)))/(log(max(Sheet1!J$2:J$104))-log(min(Sheet1!J$2:J$104)))</f>
        <v>0.7893979195</v>
      </c>
      <c r="K29" s="24">
        <f>(log(Sheet1!K29)-log(min(Sheet1!K$2:K$104)))/(log(max(Sheet1!K$2:K$104))-log(min(Sheet1!K$2:K$104)))</f>
        <v>0.2808124472</v>
      </c>
      <c r="L29" s="24">
        <f>(log(Sheet1!L29)-log(min(Sheet1!L$2:L$104)))/(log(max(Sheet1!L$2:L$104))-log(min(Sheet1!L$2:L$104)))</f>
        <v>1</v>
      </c>
      <c r="M29" s="24">
        <f>(log(Sheet1!M29)-log(min(Sheet1!M$2:M$104)))/(log(max(Sheet1!M$2:M$104))-log(min(Sheet1!M$2:M$104)))</f>
        <v>0</v>
      </c>
      <c r="N29" s="24">
        <f>(log(Sheet1!N29)-log(min(Sheet1!N$2:N$104)))/(log(max(Sheet1!N$2:N$104))-log(min(Sheet1!N$2:N$104)))</f>
        <v>0.462920338</v>
      </c>
      <c r="O29" s="24">
        <f>(log(Sheet1!O29)-log(min(Sheet1!O$2:O$104)))/(log(max(Sheet1!O$2:O$104))-log(min(Sheet1!O$2:O$104)))</f>
        <v>0.09094076347</v>
      </c>
      <c r="P29" s="24">
        <f>(log(Sheet1!P29)-log(min(Sheet1!P$2:P$104)))/(log(max(Sheet1!P$2:P$104))-log(min(Sheet1!P$2:P$104)))</f>
        <v>0.7364976285</v>
      </c>
      <c r="Q29" s="24">
        <f>(log(Sheet1!Q29)-log(min(Sheet1!Q$2:Q$104)))/(log(max(Sheet1!Q$2:Q$104))-log(min(Sheet1!Q$2:Q$104)))</f>
        <v>0.2128842012</v>
      </c>
      <c r="R29" s="24">
        <f>(log(Sheet1!R29)-log(min(Sheet1!R$2:R$104)))/(log(max(Sheet1!R$2:R$104))-log(min(Sheet1!R$2:R$104)))</f>
        <v>0.4936963388</v>
      </c>
      <c r="S29" s="24">
        <f>(log(Sheet1!S29)-log(min(Sheet1!S$2:S$104)))/(log(max(Sheet1!S$2:S$104))-log(min(Sheet1!S$2:S$104)))</f>
        <v>0.3629476276</v>
      </c>
      <c r="T29" s="24">
        <f>(log(Sheet1!T29)-log(min(Sheet1!T$2:T$104)))/(log(max(Sheet1!T$2:T$104))-log(min(Sheet1!T$2:T$104)))</f>
        <v>0.3098024986</v>
      </c>
      <c r="U29" s="24">
        <f>(log(Sheet1!U29)-log(min(Sheet1!U$2:U$104)))/(log(max(Sheet1!U$2:U$104))-log(min(Sheet1!U$2:U$104)))</f>
        <v>1</v>
      </c>
      <c r="V29" s="24"/>
      <c r="W29" s="24"/>
      <c r="X29" s="24"/>
      <c r="Y29" s="24"/>
      <c r="Z29" s="24"/>
      <c r="AA29" s="24"/>
      <c r="AB29" s="24"/>
    </row>
    <row r="30">
      <c r="A30" s="24" t="s">
        <v>77</v>
      </c>
      <c r="B30" s="25">
        <v>174804.0</v>
      </c>
      <c r="C30" s="24">
        <f>(log(Sheet1!C30)-log(min(Sheet1!$C$2:$C$104)))/(log(max(Sheet1!$C$2:$C$104))-log(min(Sheet1!$C$2:$C$104)))</f>
        <v>0.6594938928</v>
      </c>
      <c r="D30" s="24">
        <v>0.4</v>
      </c>
      <c r="E30" s="24">
        <v>0.395</v>
      </c>
      <c r="F30" s="24">
        <v>0.887097</v>
      </c>
      <c r="G30" s="24">
        <v>0.258</v>
      </c>
      <c r="H30" s="24">
        <f>(log(Sheet1!H30)-log(min(Sheet1!$H$2:$H$104)))/(log(max(Sheet1!$H$2:$H$104))-log(min(Sheet1!$H$2:$H$104)))</f>
        <v>0.4610132161</v>
      </c>
      <c r="I30" s="24">
        <f>(log(Sheet1!I30)-log(min(Sheet1!I$2:I$104)))/(log(max(Sheet1!I$2:I$104))-log(min(Sheet1!I$2:I$104)))</f>
        <v>0.5934470475</v>
      </c>
      <c r="J30" s="24">
        <f>(log(Sheet1!J30)-log(min(Sheet1!J$2:J$104)))/(log(max(Sheet1!J$2:J$104))-log(min(Sheet1!J$2:J$104)))</f>
        <v>0.3729669329</v>
      </c>
      <c r="K30" s="24">
        <f>(log(Sheet1!K30)-log(min(Sheet1!K$2:K$104)))/(log(max(Sheet1!K$2:K$104))-log(min(Sheet1!K$2:K$104)))</f>
        <v>0.7094369934</v>
      </c>
      <c r="L30" s="24">
        <f>(log(Sheet1!L30)-log(min(Sheet1!L$2:L$104)))/(log(max(Sheet1!L$2:L$104))-log(min(Sheet1!L$2:L$104)))</f>
        <v>0.5121521358</v>
      </c>
      <c r="M30" s="24">
        <f>(log(Sheet1!M30)-log(min(Sheet1!M$2:M$104)))/(log(max(Sheet1!M$2:M$104))-log(min(Sheet1!M$2:M$104)))</f>
        <v>0.8242328336</v>
      </c>
      <c r="N30" s="24">
        <f>(log(Sheet1!N30)-log(min(Sheet1!N$2:N$104)))/(log(max(Sheet1!N$2:N$104))-log(min(Sheet1!N$2:N$104)))</f>
        <v>0.8970170567</v>
      </c>
      <c r="O30" s="24">
        <f>(log(Sheet1!O30)-log(min(Sheet1!O$2:O$104)))/(log(max(Sheet1!O$2:O$104))-log(min(Sheet1!O$2:O$104)))</f>
        <v>0.4741205957</v>
      </c>
      <c r="P30" s="24">
        <f>(log(Sheet1!P30)-log(min(Sheet1!P$2:P$104)))/(log(max(Sheet1!P$2:P$104))-log(min(Sheet1!P$2:P$104)))</f>
        <v>0.5026405689</v>
      </c>
      <c r="Q30" s="24">
        <f>(log(Sheet1!Q30)-log(min(Sheet1!Q$2:Q$104)))/(log(max(Sheet1!Q$2:Q$104))-log(min(Sheet1!Q$2:Q$104)))</f>
        <v>0.4371642196</v>
      </c>
      <c r="R30" s="24">
        <f>(log(Sheet1!R30)-log(min(Sheet1!R$2:R$104)))/(log(max(Sheet1!R$2:R$104))-log(min(Sheet1!R$2:R$104)))</f>
        <v>0.5226992692</v>
      </c>
      <c r="S30" s="24">
        <f>(log(Sheet1!S30)-log(min(Sheet1!S$2:S$104)))/(log(max(Sheet1!S$2:S$104))-log(min(Sheet1!S$2:S$104)))</f>
        <v>0.5932503346</v>
      </c>
      <c r="T30" s="24">
        <f>(log(Sheet1!T30)-log(min(Sheet1!T$2:T$104)))/(log(max(Sheet1!T$2:T$104))-log(min(Sheet1!T$2:T$104)))</f>
        <v>0.2652659213</v>
      </c>
      <c r="U30" s="24">
        <f>(log(Sheet1!U30)-log(min(Sheet1!U$2:U$104)))/(log(max(Sheet1!U$2:U$104))-log(min(Sheet1!U$2:U$104)))</f>
        <v>0.3705552116</v>
      </c>
      <c r="V30" s="24"/>
      <c r="W30" s="24"/>
      <c r="X30" s="24"/>
      <c r="Y30" s="24"/>
      <c r="Z30" s="24"/>
      <c r="AA30" s="24"/>
      <c r="AB30" s="24"/>
    </row>
    <row r="31">
      <c r="A31" s="24" t="s">
        <v>78</v>
      </c>
      <c r="B31" s="25">
        <v>44599.0</v>
      </c>
      <c r="C31" s="24">
        <f>(log(Sheet1!C31)-log(min(Sheet1!$C$2:$C$104)))/(log(max(Sheet1!$C$2:$C$104))-log(min(Sheet1!$C$2:$C$104)))</f>
        <v>0.5476690296</v>
      </c>
      <c r="D31" s="24">
        <v>0.4</v>
      </c>
      <c r="E31" s="24">
        <v>0.325</v>
      </c>
      <c r="F31" s="24">
        <v>0.870968</v>
      </c>
      <c r="G31" s="24">
        <v>0.608</v>
      </c>
      <c r="H31" s="24">
        <f>(log(Sheet1!H31)-log(min(Sheet1!$H$2:$H$104)))/(log(max(Sheet1!$H$2:$H$104))-log(min(Sheet1!$H$2:$H$104)))</f>
        <v>0.4297023925</v>
      </c>
      <c r="I31" s="24">
        <f>(log(Sheet1!I31)-log(min(Sheet1!I$2:I$104)))/(log(max(Sheet1!I$2:I$104))-log(min(Sheet1!I$2:I$104)))</f>
        <v>0.7600924396</v>
      </c>
      <c r="J31" s="24">
        <f>(log(Sheet1!J31)-log(min(Sheet1!J$2:J$104)))/(log(max(Sheet1!J$2:J$104))-log(min(Sheet1!J$2:J$104)))</f>
        <v>0.5210261623</v>
      </c>
      <c r="K31" s="24">
        <f>(log(Sheet1!K31)-log(min(Sheet1!K$2:K$104)))/(log(max(Sheet1!K$2:K$104))-log(min(Sheet1!K$2:K$104)))</f>
        <v>0.6836818719</v>
      </c>
      <c r="L31" s="24">
        <f>(log(Sheet1!L31)-log(min(Sheet1!L$2:L$104)))/(log(max(Sheet1!L$2:L$104))-log(min(Sheet1!L$2:L$104)))</f>
        <v>0.3383287299</v>
      </c>
      <c r="M31" s="24">
        <f>(log(Sheet1!M31)-log(min(Sheet1!M$2:M$104)))/(log(max(Sheet1!M$2:M$104))-log(min(Sheet1!M$2:M$104)))</f>
        <v>0.8263690472</v>
      </c>
      <c r="N31" s="24">
        <f>(log(Sheet1!N31)-log(min(Sheet1!N$2:N$104)))/(log(max(Sheet1!N$2:N$104))-log(min(Sheet1!N$2:N$104)))</f>
        <v>0.8970170567</v>
      </c>
      <c r="O31" s="24">
        <f>(log(Sheet1!O31)-log(min(Sheet1!O$2:O$104)))/(log(max(Sheet1!O$2:O$104))-log(min(Sheet1!O$2:O$104)))</f>
        <v>0.4053707281</v>
      </c>
      <c r="P31" s="24">
        <f>(log(Sheet1!P31)-log(min(Sheet1!P$2:P$104)))/(log(max(Sheet1!P$2:P$104))-log(min(Sheet1!P$2:P$104)))</f>
        <v>0.6486162278</v>
      </c>
      <c r="Q31" s="24">
        <f>(log(Sheet1!Q31)-log(min(Sheet1!Q$2:Q$104)))/(log(max(Sheet1!Q$2:Q$104))-log(min(Sheet1!Q$2:Q$104)))</f>
        <v>0.5133940915</v>
      </c>
      <c r="R31" s="24">
        <f>(log(Sheet1!R31)-log(min(Sheet1!R$2:R$104)))/(log(max(Sheet1!R$2:R$104))-log(min(Sheet1!R$2:R$104)))</f>
        <v>0.6532198777</v>
      </c>
      <c r="S31" s="24">
        <f>(log(Sheet1!S31)-log(min(Sheet1!S$2:S$104)))/(log(max(Sheet1!S$2:S$104))-log(min(Sheet1!S$2:S$104)))</f>
        <v>0.5725680101</v>
      </c>
      <c r="T31" s="24">
        <f>(log(Sheet1!T31)-log(min(Sheet1!T$2:T$104)))/(log(max(Sheet1!T$2:T$104))-log(min(Sheet1!T$2:T$104)))</f>
        <v>0.1781679374</v>
      </c>
      <c r="U31" s="24">
        <f>(log(Sheet1!U31)-log(min(Sheet1!U$2:U$104)))/(log(max(Sheet1!U$2:U$104))-log(min(Sheet1!U$2:U$104)))</f>
        <v>0.3705552116</v>
      </c>
      <c r="V31" s="24"/>
      <c r="W31" s="24"/>
      <c r="X31" s="24"/>
      <c r="Y31" s="24"/>
      <c r="Z31" s="24"/>
      <c r="AA31" s="24"/>
      <c r="AB31" s="24"/>
    </row>
    <row r="32">
      <c r="A32" s="24" t="s">
        <v>79</v>
      </c>
      <c r="B32" s="25">
        <v>49520.0</v>
      </c>
      <c r="C32" s="24">
        <f>(log(Sheet1!C32)-log(min(Sheet1!$C$2:$C$104)))/(log(max(Sheet1!$C$2:$C$104))-log(min(Sheet1!$C$2:$C$104)))</f>
        <v>0.3686468282</v>
      </c>
      <c r="D32" s="24">
        <v>1.0</v>
      </c>
      <c r="E32" s="24">
        <v>0.633</v>
      </c>
      <c r="F32" s="24">
        <v>0.709677</v>
      </c>
      <c r="G32" s="24">
        <v>0.363</v>
      </c>
      <c r="H32" s="24">
        <f>(log(Sheet1!H32)-log(min(Sheet1!$H$2:$H$104)))/(log(max(Sheet1!$H$2:$H$104))-log(min(Sheet1!$H$2:$H$104)))</f>
        <v>0.528102904</v>
      </c>
      <c r="I32" s="24">
        <f>(log(Sheet1!I32)-log(min(Sheet1!I$2:I$104)))/(log(max(Sheet1!I$2:I$104))-log(min(Sheet1!I$2:I$104)))</f>
        <v>0.2544487646</v>
      </c>
      <c r="J32" s="24">
        <f>(log(Sheet1!J32)-log(min(Sheet1!J$2:J$104)))/(log(max(Sheet1!J$2:J$104))-log(min(Sheet1!J$2:J$104)))</f>
        <v>0.2766948985</v>
      </c>
      <c r="K32" s="24">
        <f>(log(Sheet1!K32)-log(min(Sheet1!K$2:K$104)))/(log(max(Sheet1!K$2:K$104))-log(min(Sheet1!K$2:K$104)))</f>
        <v>0.3854177176</v>
      </c>
      <c r="L32" s="24">
        <f>(log(Sheet1!L32)-log(min(Sheet1!L$2:L$104)))/(log(max(Sheet1!L$2:L$104))-log(min(Sheet1!L$2:L$104)))</f>
        <v>0.4051188009</v>
      </c>
      <c r="M32" s="24">
        <f>(log(Sheet1!M32)-log(min(Sheet1!M$2:M$104)))/(log(max(Sheet1!M$2:M$104))-log(min(Sheet1!M$2:M$104)))</f>
        <v>0.9822103414</v>
      </c>
      <c r="N32" s="24">
        <f>(log(Sheet1!N32)-log(min(Sheet1!N$2:N$104)))/(log(max(Sheet1!N$2:N$104))-log(min(Sheet1!N$2:N$104)))</f>
        <v>0.462920338</v>
      </c>
      <c r="O32" s="24">
        <f>(log(Sheet1!O32)-log(min(Sheet1!O$2:O$104)))/(log(max(Sheet1!O$2:O$104))-log(min(Sheet1!O$2:O$104)))</f>
        <v>0.44016491</v>
      </c>
      <c r="P32" s="24">
        <f>(log(Sheet1!P32)-log(min(Sheet1!P$2:P$104)))/(log(max(Sheet1!P$2:P$104))-log(min(Sheet1!P$2:P$104)))</f>
        <v>0.7663366719</v>
      </c>
      <c r="Q32" s="24">
        <f>(log(Sheet1!Q32)-log(min(Sheet1!Q$2:Q$104)))/(log(max(Sheet1!Q$2:Q$104))-log(min(Sheet1!Q$2:Q$104)))</f>
        <v>0.492037919</v>
      </c>
      <c r="R32" s="24">
        <f>(log(Sheet1!R32)-log(min(Sheet1!R$2:R$104)))/(log(max(Sheet1!R$2:R$104))-log(min(Sheet1!R$2:R$104)))</f>
        <v>0.6632418271</v>
      </c>
      <c r="S32" s="24">
        <f>(log(Sheet1!S32)-log(min(Sheet1!S$2:S$104)))/(log(max(Sheet1!S$2:S$104))-log(min(Sheet1!S$2:S$104)))</f>
        <v>0.8241823628</v>
      </c>
      <c r="T32" s="24">
        <f>(log(Sheet1!T32)-log(min(Sheet1!T$2:T$104)))/(log(max(Sheet1!T$2:T$104))-log(min(Sheet1!T$2:T$104)))</f>
        <v>0.2580379831</v>
      </c>
      <c r="U32" s="24">
        <f>(log(Sheet1!U32)-log(min(Sheet1!U$2:U$104)))/(log(max(Sheet1!U$2:U$104))-log(min(Sheet1!U$2:U$104)))</f>
        <v>0.3625274467</v>
      </c>
      <c r="V32" s="24"/>
      <c r="W32" s="24"/>
      <c r="X32" s="24"/>
      <c r="Y32" s="24"/>
      <c r="Z32" s="24"/>
      <c r="AA32" s="24"/>
      <c r="AB32" s="24"/>
    </row>
    <row r="33">
      <c r="A33" s="24" t="s">
        <v>80</v>
      </c>
      <c r="B33" s="25">
        <v>336892.0</v>
      </c>
      <c r="C33" s="24">
        <f>(log(Sheet1!C33)-log(min(Sheet1!$C$2:$C$104)))/(log(max(Sheet1!$C$2:$C$104))-log(min(Sheet1!$C$2:$C$104)))</f>
        <v>0.8874305323</v>
      </c>
      <c r="D33" s="24">
        <v>0.4</v>
      </c>
      <c r="E33" s="24">
        <v>0.689</v>
      </c>
      <c r="F33" s="24">
        <v>0.0</v>
      </c>
      <c r="G33" s="24">
        <v>0.579</v>
      </c>
      <c r="H33" s="24">
        <f>(log(Sheet1!H33)-log(min(Sheet1!$H$2:$H$104)))/(log(max(Sheet1!$H$2:$H$104))-log(min(Sheet1!$H$2:$H$104)))</f>
        <v>0.6562755768</v>
      </c>
      <c r="I33" s="24">
        <f>(log(Sheet1!I33)-log(min(Sheet1!I$2:I$104)))/(log(max(Sheet1!I$2:I$104))-log(min(Sheet1!I$2:I$104)))</f>
        <v>0.7600924396</v>
      </c>
      <c r="J33" s="24">
        <f>(log(Sheet1!J33)-log(min(Sheet1!J$2:J$104)))/(log(max(Sheet1!J$2:J$104))-log(min(Sheet1!J$2:J$104)))</f>
        <v>0.9173210005</v>
      </c>
      <c r="K33" s="24">
        <f>(log(Sheet1!K33)-log(min(Sheet1!K$2:K$104)))/(log(max(Sheet1!K$2:K$104))-log(min(Sheet1!K$2:K$104)))</f>
        <v>0.6382678523</v>
      </c>
      <c r="L33" s="24">
        <f>(log(Sheet1!L33)-log(min(Sheet1!L$2:L$104)))/(log(max(Sheet1!L$2:L$104))-log(min(Sheet1!L$2:L$104)))</f>
        <v>0.4914239239</v>
      </c>
      <c r="M33" s="24">
        <f>(log(Sheet1!M33)-log(min(Sheet1!M$2:M$104)))/(log(max(Sheet1!M$2:M$104))-log(min(Sheet1!M$2:M$104)))</f>
        <v>0.6308109153</v>
      </c>
      <c r="N33" s="24">
        <f>(log(Sheet1!N33)-log(min(Sheet1!N$2:N$104)))/(log(max(Sheet1!N$2:N$104))-log(min(Sheet1!N$2:N$104)))</f>
        <v>0.7337315994</v>
      </c>
      <c r="O33" s="24">
        <f>(log(Sheet1!O33)-log(min(Sheet1!O$2:O$104)))/(log(max(Sheet1!O$2:O$104))-log(min(Sheet1!O$2:O$104)))</f>
        <v>0.4053707281</v>
      </c>
      <c r="P33" s="24">
        <f>(log(Sheet1!P33)-log(min(Sheet1!P$2:P$104)))/(log(max(Sheet1!P$2:P$104))-log(min(Sheet1!P$2:P$104)))</f>
        <v>0.5121226809</v>
      </c>
      <c r="Q33" s="24">
        <f>(log(Sheet1!Q33)-log(min(Sheet1!Q$2:Q$104)))/(log(max(Sheet1!Q$2:Q$104))-log(min(Sheet1!Q$2:Q$104)))</f>
        <v>0.3204464405</v>
      </c>
      <c r="R33" s="24">
        <f>(log(Sheet1!R33)-log(min(Sheet1!R$2:R$104)))/(log(max(Sheet1!R$2:R$104))-log(min(Sheet1!R$2:R$104)))</f>
        <v>0.9083522245</v>
      </c>
      <c r="S33" s="24">
        <f>(log(Sheet1!S33)-log(min(Sheet1!S$2:S$104)))/(log(max(Sheet1!S$2:S$104))-log(min(Sheet1!S$2:S$104)))</f>
        <v>0.4818565837</v>
      </c>
      <c r="T33" s="24">
        <f>(log(Sheet1!T33)-log(min(Sheet1!T$2:T$104)))/(log(max(Sheet1!T$2:T$104))-log(min(Sheet1!T$2:T$104)))</f>
        <v>0.2427735858</v>
      </c>
      <c r="U33" s="24">
        <f>(log(Sheet1!U33)-log(min(Sheet1!U$2:U$104)))/(log(max(Sheet1!U$2:U$104))-log(min(Sheet1!U$2:U$104)))</f>
        <v>0.475585939</v>
      </c>
      <c r="V33" s="24"/>
      <c r="W33" s="24"/>
      <c r="X33" s="24"/>
      <c r="Y33" s="24"/>
      <c r="Z33" s="24"/>
      <c r="AA33" s="24"/>
      <c r="AB33" s="24"/>
    </row>
    <row r="34">
      <c r="A34" s="24" t="s">
        <v>82</v>
      </c>
      <c r="B34" s="25">
        <v>48832.0</v>
      </c>
      <c r="C34" s="24">
        <f>(log(Sheet1!C34)-log(min(Sheet1!$C$2:$C$104)))/(log(max(Sheet1!$C$2:$C$104))-log(min(Sheet1!$C$2:$C$104)))</f>
        <v>0.4458172262</v>
      </c>
      <c r="D34" s="24">
        <v>0.6</v>
      </c>
      <c r="E34" s="24">
        <v>0.559</v>
      </c>
      <c r="F34" s="24">
        <v>0.290323</v>
      </c>
      <c r="G34" s="24">
        <v>0.131</v>
      </c>
      <c r="H34" s="24">
        <f>(log(Sheet1!H34)-log(min(Sheet1!$H$2:$H$104)))/(log(max(Sheet1!$H$2:$H$104))-log(min(Sheet1!$H$2:$H$104)))</f>
        <v>0.1299422006</v>
      </c>
      <c r="I34" s="24">
        <f>(log(Sheet1!I34)-log(min(Sheet1!I$2:I$104)))/(log(max(Sheet1!I$2:I$104))-log(min(Sheet1!I$2:I$104)))</f>
        <v>0.4034213796</v>
      </c>
      <c r="J34" s="24">
        <f>(log(Sheet1!J34)-log(min(Sheet1!J$2:J$104)))/(log(max(Sheet1!J$2:J$104))-log(min(Sheet1!J$2:J$104)))</f>
        <v>0.2498700253</v>
      </c>
      <c r="K34" s="24">
        <f>(log(Sheet1!K34)-log(min(Sheet1!K$2:K$104)))/(log(max(Sheet1!K$2:K$104))-log(min(Sheet1!K$2:K$104)))</f>
        <v>0.3529189543</v>
      </c>
      <c r="L34" s="24">
        <f>(log(Sheet1!L34)-log(min(Sheet1!L$2:L$104)))/(log(max(Sheet1!L$2:L$104))-log(min(Sheet1!L$2:L$104)))</f>
        <v>0.2473974685</v>
      </c>
      <c r="M34" s="24">
        <f>(log(Sheet1!M34)-log(min(Sheet1!M$2:M$104)))/(log(max(Sheet1!M$2:M$104))-log(min(Sheet1!M$2:M$104)))</f>
        <v>0.9106693625</v>
      </c>
      <c r="N34" s="24">
        <f>(log(Sheet1!N34)-log(min(Sheet1!N$2:N$104)))/(log(max(Sheet1!N$2:N$104))-log(min(Sheet1!N$2:N$104)))</f>
        <v>0.6246464814</v>
      </c>
      <c r="O34" s="24">
        <f>(log(Sheet1!O34)-log(min(Sheet1!O$2:O$104)))/(log(max(Sheet1!O$2:O$104))-log(min(Sheet1!O$2:O$104)))</f>
        <v>1</v>
      </c>
      <c r="P34" s="24">
        <f>(log(Sheet1!P34)-log(min(Sheet1!P$2:P$104)))/(log(max(Sheet1!P$2:P$104))-log(min(Sheet1!P$2:P$104)))</f>
        <v>0.6844953438</v>
      </c>
      <c r="Q34" s="24">
        <f>(log(Sheet1!Q34)-log(min(Sheet1!Q$2:Q$104)))/(log(max(Sheet1!Q$2:Q$104))-log(min(Sheet1!Q$2:Q$104)))</f>
        <v>0.3020604256</v>
      </c>
      <c r="R34" s="24">
        <f>(log(Sheet1!R34)-log(min(Sheet1!R$2:R$104)))/(log(max(Sheet1!R$2:R$104))-log(min(Sheet1!R$2:R$104)))</f>
        <v>0.5084568138</v>
      </c>
      <c r="S34" s="24">
        <f>(log(Sheet1!S34)-log(min(Sheet1!S$2:S$104)))/(log(max(Sheet1!S$2:S$104))-log(min(Sheet1!S$2:S$104)))</f>
        <v>0.8731000716</v>
      </c>
      <c r="T34" s="24">
        <f>(log(Sheet1!T34)-log(min(Sheet1!T$2:T$104)))/(log(max(Sheet1!T$2:T$104))-log(min(Sheet1!T$2:T$104)))</f>
        <v>0.2175205597</v>
      </c>
      <c r="U34" s="24">
        <f>(log(Sheet1!U34)-log(min(Sheet1!U$2:U$104)))/(log(max(Sheet1!U$2:U$104))-log(min(Sheet1!U$2:U$104)))</f>
        <v>0.3199210026</v>
      </c>
      <c r="V34" s="24"/>
      <c r="W34" s="24"/>
      <c r="X34" s="24"/>
      <c r="Y34" s="24"/>
      <c r="Z34" s="24"/>
      <c r="AA34" s="24"/>
      <c r="AB34" s="24"/>
    </row>
    <row r="35">
      <c r="A35" s="24" t="s">
        <v>84</v>
      </c>
      <c r="B35" s="25">
        <v>392921.0</v>
      </c>
      <c r="C35" s="24">
        <f>(log(Sheet1!C35)-log(min(Sheet1!$C$2:$C$104)))/(log(max(Sheet1!$C$2:$C$104))-log(min(Sheet1!$C$2:$C$104)))</f>
        <v>0.8511704758</v>
      </c>
      <c r="D35" s="24">
        <v>0.4</v>
      </c>
      <c r="E35" s="24">
        <v>0.622</v>
      </c>
      <c r="F35" s="24">
        <v>0.387097</v>
      </c>
      <c r="G35" s="24">
        <v>0.553</v>
      </c>
      <c r="H35" s="24">
        <f>(log(Sheet1!H35)-log(min(Sheet1!$H$2:$H$104)))/(log(max(Sheet1!$H$2:$H$104))-log(min(Sheet1!$H$2:$H$104)))</f>
        <v>0.4882447968</v>
      </c>
      <c r="I35" s="24">
        <f>(log(Sheet1!I35)-log(min(Sheet1!I$2:I$104)))/(log(max(Sheet1!I$2:I$104))-log(min(Sheet1!I$2:I$104)))</f>
        <v>0.7161988555</v>
      </c>
      <c r="J35" s="24">
        <f>(log(Sheet1!J35)-log(min(Sheet1!J$2:J$104)))/(log(max(Sheet1!J$2:J$104))-log(min(Sheet1!J$2:J$104)))</f>
        <v>0.7043657088</v>
      </c>
      <c r="K35" s="24">
        <f>(log(Sheet1!K35)-log(min(Sheet1!K$2:K$104)))/(log(max(Sheet1!K$2:K$104))-log(min(Sheet1!K$2:K$104)))</f>
        <v>0.6979698121</v>
      </c>
      <c r="L35" s="24">
        <f>(log(Sheet1!L35)-log(min(Sheet1!L$2:L$104)))/(log(max(Sheet1!L$2:L$104))-log(min(Sheet1!L$2:L$104)))</f>
        <v>0.3851502983</v>
      </c>
      <c r="M35" s="24">
        <f>(log(Sheet1!M35)-log(min(Sheet1!M$2:M$104)))/(log(max(Sheet1!M$2:M$104))-log(min(Sheet1!M$2:M$104)))</f>
        <v>0.7216575662</v>
      </c>
      <c r="N35" s="24">
        <f>(log(Sheet1!N35)-log(min(Sheet1!N$2:N$104)))/(log(max(Sheet1!N$2:N$104))-log(min(Sheet1!N$2:N$104)))</f>
        <v>0.8659940517</v>
      </c>
      <c r="O35" s="24">
        <f>(log(Sheet1!O35)-log(min(Sheet1!O$2:O$104)))/(log(max(Sheet1!O$2:O$104))-log(min(Sheet1!O$2:O$104)))</f>
        <v>0.4741205957</v>
      </c>
      <c r="P35" s="24">
        <f>(log(Sheet1!P35)-log(min(Sheet1!P$2:P$104)))/(log(max(Sheet1!P$2:P$104))-log(min(Sheet1!P$2:P$104)))</f>
        <v>0.2082492892</v>
      </c>
      <c r="Q35" s="24">
        <f>(log(Sheet1!Q35)-log(min(Sheet1!Q$2:Q$104)))/(log(max(Sheet1!Q$2:Q$104))-log(min(Sheet1!Q$2:Q$104)))</f>
        <v>0.2518061109</v>
      </c>
      <c r="R35" s="24">
        <f>(log(Sheet1!R35)-log(min(Sheet1!R$2:R$104)))/(log(max(Sheet1!R$2:R$104))-log(min(Sheet1!R$2:R$104)))</f>
        <v>0.8375877064</v>
      </c>
      <c r="S35" s="24">
        <f>(log(Sheet1!S35)-log(min(Sheet1!S$2:S$104)))/(log(max(Sheet1!S$2:S$104))-log(min(Sheet1!S$2:S$104)))</f>
        <v>0.4486929486</v>
      </c>
      <c r="T35" s="24">
        <f>(log(Sheet1!T35)-log(min(Sheet1!T$2:T$104)))/(log(max(Sheet1!T$2:T$104))-log(min(Sheet1!T$2:T$104)))</f>
        <v>0.272248797</v>
      </c>
      <c r="U35" s="24">
        <f>(log(Sheet1!U35)-log(min(Sheet1!U$2:U$104)))/(log(max(Sheet1!U$2:U$104))-log(min(Sheet1!U$2:U$104)))</f>
        <v>0.4012192712</v>
      </c>
      <c r="V35" s="24"/>
      <c r="W35" s="24"/>
      <c r="X35" s="24"/>
      <c r="Y35" s="24"/>
      <c r="Z35" s="24"/>
      <c r="AA35" s="24"/>
      <c r="AB35" s="24"/>
    </row>
    <row r="36">
      <c r="A36" s="24" t="s">
        <v>85</v>
      </c>
      <c r="B36" s="25">
        <v>77001.0</v>
      </c>
      <c r="C36" s="24">
        <f>(log(Sheet1!C36)-log(min(Sheet1!$C$2:$C$104)))/(log(max(Sheet1!$C$2:$C$104))-log(min(Sheet1!$C$2:$C$104)))</f>
        <v>0.5442847647</v>
      </c>
      <c r="D36" s="24">
        <v>0.2</v>
      </c>
      <c r="E36" s="24">
        <v>0.555</v>
      </c>
      <c r="F36" s="24">
        <v>0.612903</v>
      </c>
      <c r="G36" s="24">
        <v>0.204</v>
      </c>
      <c r="H36" s="24">
        <f>(log(Sheet1!H36)-log(min(Sheet1!$H$2:$H$104)))/(log(max(Sheet1!$H$2:$H$104))-log(min(Sheet1!$H$2:$H$104)))</f>
        <v>0.6034442354</v>
      </c>
      <c r="I36" s="24">
        <f>(log(Sheet1!I36)-log(min(Sheet1!I$2:I$104)))/(log(max(Sheet1!I$2:I$104))-log(min(Sheet1!I$2:I$104)))</f>
        <v>0.5934470475</v>
      </c>
      <c r="J36" s="24">
        <f>(log(Sheet1!J36)-log(min(Sheet1!J$2:J$104)))/(log(max(Sheet1!J$2:J$104))-log(min(Sheet1!J$2:J$104)))</f>
        <v>0.4672420213</v>
      </c>
      <c r="K36" s="24">
        <f>(log(Sheet1!K36)-log(min(Sheet1!K$2:K$104)))/(log(max(Sheet1!K$2:K$104))-log(min(Sheet1!K$2:K$104)))</f>
        <v>0.5855602798</v>
      </c>
      <c r="L36" s="24">
        <f>(log(Sheet1!L36)-log(min(Sheet1!L$2:L$104)))/(log(max(Sheet1!L$2:L$104))-log(min(Sheet1!L$2:L$104)))</f>
        <v>0.3322231285</v>
      </c>
      <c r="M36" s="24">
        <f>(log(Sheet1!M36)-log(min(Sheet1!M$2:M$104)))/(log(max(Sheet1!M$2:M$104))-log(min(Sheet1!M$2:M$104)))</f>
        <v>0.8729589048</v>
      </c>
      <c r="N36" s="24">
        <f>(log(Sheet1!N36)-log(min(Sheet1!N$2:N$104)))/(log(max(Sheet1!N$2:N$104))-log(min(Sheet1!N$2:N$104)))</f>
        <v>0.7337315994</v>
      </c>
      <c r="O36" s="24">
        <f>(log(Sheet1!O36)-log(min(Sheet1!O$2:O$104)))/(log(max(Sheet1!O$2:O$104))-log(min(Sheet1!O$2:O$104)))</f>
        <v>0.2955156838</v>
      </c>
      <c r="P36" s="24">
        <f>(log(Sheet1!P36)-log(min(Sheet1!P$2:P$104)))/(log(max(Sheet1!P$2:P$104))-log(min(Sheet1!P$2:P$104)))</f>
        <v>0.6625800936</v>
      </c>
      <c r="Q36" s="24">
        <f>(log(Sheet1!Q36)-log(min(Sheet1!Q$2:Q$104)))/(log(max(Sheet1!Q$2:Q$104))-log(min(Sheet1!Q$2:Q$104)))</f>
        <v>0.8252626304</v>
      </c>
      <c r="R36" s="24">
        <f>(log(Sheet1!R36)-log(min(Sheet1!R$2:R$104)))/(log(max(Sheet1!R$2:R$104))-log(min(Sheet1!R$2:R$104)))</f>
        <v>0.5084568138</v>
      </c>
      <c r="S36" s="24">
        <f>(log(Sheet1!S36)-log(min(Sheet1!S$2:S$104)))/(log(max(Sheet1!S$2:S$104))-log(min(Sheet1!S$2:S$104)))</f>
        <v>0.7877335619</v>
      </c>
      <c r="T36" s="24">
        <f>(log(Sheet1!T36)-log(min(Sheet1!T$2:T$104)))/(log(max(Sheet1!T$2:T$104))-log(min(Sheet1!T$2:T$104)))</f>
        <v>0.2083646033</v>
      </c>
      <c r="U36" s="24">
        <f>(log(Sheet1!U36)-log(min(Sheet1!U$2:U$104)))/(log(max(Sheet1!U$2:U$104))-log(min(Sheet1!U$2:U$104)))</f>
        <v>0.3625274467</v>
      </c>
      <c r="V36" s="24"/>
      <c r="W36" s="24"/>
      <c r="X36" s="24"/>
      <c r="Y36" s="24"/>
      <c r="Z36" s="24"/>
      <c r="AA36" s="24"/>
      <c r="AB36" s="24"/>
    </row>
    <row r="37">
      <c r="A37" s="24" t="s">
        <v>87</v>
      </c>
      <c r="B37" s="25">
        <v>237242.0</v>
      </c>
      <c r="C37" s="24">
        <f>(log(Sheet1!C37)-log(min(Sheet1!$C$2:$C$104)))/(log(max(Sheet1!$C$2:$C$104))-log(min(Sheet1!$C$2:$C$104)))</f>
        <v>0.7915562989</v>
      </c>
      <c r="D37" s="24">
        <v>0.2</v>
      </c>
      <c r="E37" s="24">
        <v>0.506</v>
      </c>
      <c r="F37" s="24">
        <v>0.709677</v>
      </c>
      <c r="G37" s="24">
        <v>0.28</v>
      </c>
      <c r="H37" s="24">
        <f>(log(Sheet1!H37)-log(min(Sheet1!$H$2:$H$104)))/(log(max(Sheet1!$H$2:$H$104))-log(min(Sheet1!$H$2:$H$104)))</f>
        <v>0.4726783738</v>
      </c>
      <c r="I37" s="24">
        <f>(log(Sheet1!I37)-log(min(Sheet1!I$2:I$104)))/(log(max(Sheet1!I$2:I$104))-log(min(Sheet1!I$2:I$104)))</f>
        <v>0.6159929608</v>
      </c>
      <c r="J37" s="24">
        <f>(log(Sheet1!J37)-log(min(Sheet1!J$2:J$104)))/(log(max(Sheet1!J$2:J$104))-log(min(Sheet1!J$2:J$104)))</f>
        <v>0.5036528004</v>
      </c>
      <c r="K37" s="24">
        <f>(log(Sheet1!K37)-log(min(Sheet1!K$2:K$104)))/(log(max(Sheet1!K$2:K$104))-log(min(Sheet1!K$2:K$104)))</f>
        <v>0.768854527</v>
      </c>
      <c r="L37" s="24">
        <f>(log(Sheet1!L37)-log(min(Sheet1!L$2:L$104)))/(log(max(Sheet1!L$2:L$104))-log(min(Sheet1!L$2:L$104)))</f>
        <v>0.4485476007</v>
      </c>
      <c r="M37" s="24">
        <f>(log(Sheet1!M37)-log(min(Sheet1!M$2:M$104)))/(log(max(Sheet1!M$2:M$104))-log(min(Sheet1!M$2:M$104)))</f>
        <v>0.7359333958</v>
      </c>
      <c r="N37" s="24">
        <f>(log(Sheet1!N37)-log(min(Sheet1!N$2:N$104)))/(log(max(Sheet1!N$2:N$104))-log(min(Sheet1!N$2:N$104)))</f>
        <v>0.9122493364</v>
      </c>
      <c r="O37" s="24">
        <f>(log(Sheet1!O37)-log(min(Sheet1!O$2:O$104)))/(log(max(Sheet1!O$2:O$104))-log(min(Sheet1!O$2:O$104)))</f>
        <v>0.44016491</v>
      </c>
      <c r="P37" s="24">
        <f>(log(Sheet1!P37)-log(min(Sheet1!P$2:P$104)))/(log(max(Sheet1!P$2:P$104))-log(min(Sheet1!P$2:P$104)))</f>
        <v>0.3890047353</v>
      </c>
      <c r="Q37" s="24">
        <f>(log(Sheet1!Q37)-log(min(Sheet1!Q$2:Q$104)))/(log(max(Sheet1!Q$2:Q$104))-log(min(Sheet1!Q$2:Q$104)))</f>
        <v>0.5027570752</v>
      </c>
      <c r="R37" s="24">
        <f>(log(Sheet1!R37)-log(min(Sheet1!R$2:R$104)))/(log(max(Sheet1!R$2:R$104))-log(min(Sheet1!R$2:R$104)))</f>
        <v>0.8040257578</v>
      </c>
      <c r="S37" s="24">
        <f>(log(Sheet1!S37)-log(min(Sheet1!S$2:S$104)))/(log(max(Sheet1!S$2:S$104))-log(min(Sheet1!S$2:S$104)))</f>
        <v>0.7124945006</v>
      </c>
      <c r="T37" s="24">
        <f>(log(Sheet1!T37)-log(min(Sheet1!T$2:T$104)))/(log(max(Sheet1!T$2:T$104))-log(min(Sheet1!T$2:T$104)))</f>
        <v>0.2980292884</v>
      </c>
      <c r="U37" s="24">
        <f>(log(Sheet1!U37)-log(min(Sheet1!U$2:U$104)))/(log(max(Sheet1!U$2:U$104))-log(min(Sheet1!U$2:U$104)))</f>
        <v>0.4157532947</v>
      </c>
      <c r="V37" s="24"/>
      <c r="W37" s="24"/>
      <c r="X37" s="24"/>
      <c r="Y37" s="24"/>
      <c r="Z37" s="24"/>
      <c r="AA37" s="24"/>
      <c r="AB37" s="24"/>
    </row>
    <row r="38">
      <c r="A38" s="24" t="s">
        <v>88</v>
      </c>
      <c r="B38" s="25">
        <v>10343.0</v>
      </c>
      <c r="C38" s="24">
        <f>(log(Sheet1!C38)-log(min(Sheet1!$C$2:$C$104)))/(log(max(Sheet1!$C$2:$C$104))-log(min(Sheet1!$C$2:$C$104)))</f>
        <v>0.2434814723</v>
      </c>
      <c r="D38" s="24">
        <v>0.2</v>
      </c>
      <c r="E38" s="24">
        <v>0.505</v>
      </c>
      <c r="F38" s="24">
        <v>0.645161</v>
      </c>
      <c r="G38" s="24">
        <v>0.286</v>
      </c>
      <c r="H38" s="24">
        <f>(log(Sheet1!H38)-log(min(Sheet1!$H$2:$H$104)))/(log(max(Sheet1!$H$2:$H$104))-log(min(Sheet1!$H$2:$H$104)))</f>
        <v>0.405237406</v>
      </c>
      <c r="I38" s="24">
        <f>(log(Sheet1!I38)-log(min(Sheet1!I$2:I$104)))/(log(max(Sheet1!I$2:I$104))-log(min(Sheet1!I$2:I$104)))</f>
        <v>0.6996379847</v>
      </c>
      <c r="J38" s="24">
        <f>(log(Sheet1!J38)-log(min(Sheet1!J$2:J$104)))/(log(max(Sheet1!J$2:J$104))-log(min(Sheet1!J$2:J$104)))</f>
        <v>0</v>
      </c>
      <c r="K38" s="24">
        <f>(log(Sheet1!K38)-log(min(Sheet1!K$2:K$104)))/(log(max(Sheet1!K$2:K$104))-log(min(Sheet1!K$2:K$104)))</f>
        <v>0.2693954237</v>
      </c>
      <c r="L38" s="24">
        <f>(log(Sheet1!L38)-log(min(Sheet1!L$2:L$104)))/(log(max(Sheet1!L$2:L$104))-log(min(Sheet1!L$2:L$104)))</f>
        <v>0.4007714597</v>
      </c>
      <c r="M38" s="24">
        <f>(log(Sheet1!M38)-log(min(Sheet1!M$2:M$104)))/(log(max(Sheet1!M$2:M$104))-log(min(Sheet1!M$2:M$104)))</f>
        <v>0.8210966243</v>
      </c>
      <c r="N38" s="24">
        <f>(log(Sheet1!N38)-log(min(Sheet1!N$2:N$104)))/(log(max(Sheet1!N$2:N$104))-log(min(Sheet1!N$2:N$104)))</f>
        <v>0.5053202691</v>
      </c>
      <c r="O38" s="24">
        <f>(log(Sheet1!O38)-log(min(Sheet1!O$2:O$104)))/(log(max(Sheet1!O$2:O$104))-log(min(Sheet1!O$2:O$104)))</f>
        <v>0.4053707281</v>
      </c>
      <c r="P38" s="24">
        <f>(log(Sheet1!P38)-log(min(Sheet1!P$2:P$104)))/(log(max(Sheet1!P$2:P$104))-log(min(Sheet1!P$2:P$104)))</f>
        <v>0.882654756</v>
      </c>
      <c r="Q38" s="24">
        <f>(log(Sheet1!Q38)-log(min(Sheet1!Q$2:Q$104)))/(log(max(Sheet1!Q$2:Q$104))-log(min(Sheet1!Q$2:Q$104)))</f>
        <v>0.9962634598</v>
      </c>
      <c r="R38" s="24">
        <f>(log(Sheet1!R38)-log(min(Sheet1!R$2:R$104)))/(log(max(Sheet1!R$2:R$104))-log(min(Sheet1!R$2:R$104)))</f>
        <v>0.7674362826</v>
      </c>
      <c r="S38" s="24">
        <f>(log(Sheet1!S38)-log(min(Sheet1!S$2:S$104)))/(log(max(Sheet1!S$2:S$104))-log(min(Sheet1!S$2:S$104)))</f>
        <v>0.7552108067</v>
      </c>
      <c r="T38" s="24">
        <f>(log(Sheet1!T38)-log(min(Sheet1!T$2:T$104)))/(log(max(Sheet1!T$2:T$104))-log(min(Sheet1!T$2:T$104)))</f>
        <v>0.2427735858</v>
      </c>
      <c r="U38" s="24">
        <f>(log(Sheet1!U38)-log(min(Sheet1!U$2:U$104)))/(log(max(Sheet1!U$2:U$104))-log(min(Sheet1!U$2:U$104)))</f>
        <v>0.3784329159</v>
      </c>
      <c r="V38" s="24"/>
      <c r="W38" s="24"/>
      <c r="X38" s="24"/>
      <c r="Y38" s="24"/>
      <c r="Z38" s="24"/>
      <c r="AA38" s="24"/>
      <c r="AB38" s="24"/>
    </row>
    <row r="39">
      <c r="A39" s="24" t="s">
        <v>89</v>
      </c>
      <c r="B39" s="25">
        <v>8052.0</v>
      </c>
      <c r="C39" s="24">
        <f>(log(Sheet1!C39)-log(min(Sheet1!$C$2:$C$104)))/(log(max(Sheet1!$C$2:$C$104))-log(min(Sheet1!$C$2:$C$104)))</f>
        <v>0.2271107032</v>
      </c>
      <c r="D39" s="24">
        <v>1.0</v>
      </c>
      <c r="E39" s="24">
        <v>0.258</v>
      </c>
      <c r="F39" s="24">
        <v>1.0</v>
      </c>
      <c r="G39" s="24">
        <v>0.111</v>
      </c>
      <c r="H39" s="24">
        <f>(log(Sheet1!H39)-log(min(Sheet1!$H$2:$H$104)))/(log(max(Sheet1!$H$2:$H$104))-log(min(Sheet1!$H$2:$H$104)))</f>
        <v>0.7374855728</v>
      </c>
      <c r="I39" s="24">
        <f>(log(Sheet1!I39)-log(min(Sheet1!I$2:I$104)))/(log(max(Sheet1!I$2:I$104))-log(min(Sheet1!I$2:I$104)))</f>
        <v>0.4268467467</v>
      </c>
      <c r="J39" s="24">
        <f>(log(Sheet1!J39)-log(min(Sheet1!J$2:J$104)))/(log(max(Sheet1!J$2:J$104))-log(min(Sheet1!J$2:J$104)))</f>
        <v>0.2532925851</v>
      </c>
      <c r="K39" s="24">
        <f>(log(Sheet1!K39)-log(min(Sheet1!K$2:K$104)))/(log(max(Sheet1!K$2:K$104))-log(min(Sheet1!K$2:K$104)))</f>
        <v>0.9691512556</v>
      </c>
      <c r="L39" s="24">
        <f>(log(Sheet1!L39)-log(min(Sheet1!L$2:L$104)))/(log(max(Sheet1!L$2:L$104))-log(min(Sheet1!L$2:L$104)))</f>
        <v>0.4676397594</v>
      </c>
      <c r="M39" s="24">
        <f>(log(Sheet1!M39)-log(min(Sheet1!M$2:M$104)))/(log(max(Sheet1!M$2:M$104))-log(min(Sheet1!M$2:M$104)))</f>
        <v>0.3796314614</v>
      </c>
      <c r="N39" s="24">
        <f>(log(Sheet1!N39)-log(min(Sheet1!N$2:N$104)))/(log(max(Sheet1!N$2:N$104))-log(min(Sheet1!N$2:N$104)))</f>
        <v>0.462920338</v>
      </c>
      <c r="O39" s="24">
        <f>(log(Sheet1!O39)-log(min(Sheet1!O$2:O$104)))/(log(max(Sheet1!O$2:O$104))-log(min(Sheet1!O$2:O$104)))</f>
        <v>0.1763664797</v>
      </c>
      <c r="P39" s="24">
        <f>(log(Sheet1!P39)-log(min(Sheet1!P$2:P$104)))/(log(max(Sheet1!P$2:P$104))-log(min(Sheet1!P$2:P$104)))</f>
        <v>0.8817342529</v>
      </c>
      <c r="Q39" s="24">
        <f>(log(Sheet1!Q39)-log(min(Sheet1!Q$2:Q$104)))/(log(max(Sheet1!Q$2:Q$104))-log(min(Sheet1!Q$2:Q$104)))</f>
        <v>0.6874476562</v>
      </c>
      <c r="R39" s="24">
        <f>(log(Sheet1!R39)-log(min(Sheet1!R$2:R$104)))/(log(max(Sheet1!R$2:R$104))-log(min(Sheet1!R$2:R$104)))</f>
        <v>0.6104573811</v>
      </c>
      <c r="S39" s="24">
        <f>(log(Sheet1!S39)-log(min(Sheet1!S$2:S$104)))/(log(max(Sheet1!S$2:S$104))-log(min(Sheet1!S$2:S$104)))</f>
        <v>0.5621351515</v>
      </c>
      <c r="T39" s="24">
        <f>(log(Sheet1!T39)-log(min(Sheet1!T$2:T$104)))/(log(max(Sheet1!T$2:T$104))-log(min(Sheet1!T$2:T$104)))</f>
        <v>0.3894681025</v>
      </c>
      <c r="U39" s="24">
        <f>(log(Sheet1!U39)-log(min(Sheet1!U$2:U$104)))/(log(max(Sheet1!U$2:U$104))-log(min(Sheet1!U$2:U$104)))</f>
        <v>0.5595937766</v>
      </c>
      <c r="V39" s="24"/>
      <c r="W39" s="24"/>
      <c r="X39" s="24"/>
      <c r="Y39" s="24"/>
      <c r="Z39" s="24"/>
      <c r="AA39" s="24"/>
      <c r="AB39" s="24"/>
    </row>
    <row r="40">
      <c r="A40" s="24" t="s">
        <v>91</v>
      </c>
      <c r="B40" s="25">
        <v>62192.0</v>
      </c>
      <c r="C40" s="24">
        <f>(log(Sheet1!C40)-log(min(Sheet1!$C$2:$C$104)))/(log(max(Sheet1!$C$2:$C$104))-log(min(Sheet1!$C$2:$C$104)))</f>
        <v>0.48170222</v>
      </c>
      <c r="D40" s="24">
        <v>1.0</v>
      </c>
      <c r="E40" s="24">
        <v>0.595</v>
      </c>
      <c r="F40" s="24">
        <v>0.564516</v>
      </c>
      <c r="G40" s="24">
        <v>0.209</v>
      </c>
      <c r="H40" s="24">
        <f>(log(Sheet1!H40)-log(min(Sheet1!$H$2:$H$104)))/(log(max(Sheet1!$H$2:$H$104))-log(min(Sheet1!$H$2:$H$104)))</f>
        <v>0.513458159</v>
      </c>
      <c r="I40" s="24">
        <f>(log(Sheet1!I40)-log(min(Sheet1!I$2:I$104)))/(log(max(Sheet1!I$2:I$104))-log(min(Sheet1!I$2:I$104)))</f>
        <v>0.5309114899</v>
      </c>
      <c r="J40" s="24">
        <f>(log(Sheet1!J40)-log(min(Sheet1!J$2:J$104)))/(log(max(Sheet1!J$2:J$104))-log(min(Sheet1!J$2:J$104)))</f>
        <v>0.4577661515</v>
      </c>
      <c r="K40" s="24">
        <f>(log(Sheet1!K40)-log(min(Sheet1!K$2:K$104)))/(log(max(Sheet1!K$2:K$104))-log(min(Sheet1!K$2:K$104)))</f>
        <v>0.6316159258</v>
      </c>
      <c r="L40" s="24">
        <f>(log(Sheet1!L40)-log(min(Sheet1!L$2:L$104)))/(log(max(Sheet1!L$2:L$104))-log(min(Sheet1!L$2:L$104)))</f>
        <v>0.3940246018</v>
      </c>
      <c r="M40" s="24">
        <f>(log(Sheet1!M40)-log(min(Sheet1!M$2:M$104)))/(log(max(Sheet1!M$2:M$104))-log(min(Sheet1!M$2:M$104)))</f>
        <v>0.8659032397</v>
      </c>
      <c r="N40" s="24">
        <f>(log(Sheet1!N40)-log(min(Sheet1!N$2:N$104)))/(log(max(Sheet1!N$2:N$104))-log(min(Sheet1!N$2:N$104)))</f>
        <v>0.7337315994</v>
      </c>
      <c r="O40" s="24">
        <f>(log(Sheet1!O40)-log(min(Sheet1!O$2:O$104)))/(log(max(Sheet1!O$2:O$104))-log(min(Sheet1!O$2:O$104)))</f>
        <v>0.4053707281</v>
      </c>
      <c r="P40" s="24">
        <f>(log(Sheet1!P40)-log(min(Sheet1!P$2:P$104)))/(log(max(Sheet1!P$2:P$104))-log(min(Sheet1!P$2:P$104)))</f>
        <v>0.7321523081</v>
      </c>
      <c r="Q40" s="24">
        <f>(log(Sheet1!Q40)-log(min(Sheet1!Q$2:Q$104)))/(log(max(Sheet1!Q$2:Q$104))-log(min(Sheet1!Q$2:Q$104)))</f>
        <v>0.6301973225</v>
      </c>
      <c r="R40" s="24">
        <f>(log(Sheet1!R40)-log(min(Sheet1!R$2:R$104)))/(log(max(Sheet1!R$2:R$104))-log(min(Sheet1!R$2:R$104)))</f>
        <v>0.6324015539</v>
      </c>
      <c r="S40" s="24">
        <f>(log(Sheet1!S40)-log(min(Sheet1!S$2:S$104)))/(log(max(Sheet1!S$2:S$104))-log(min(Sheet1!S$2:S$104)))</f>
        <v>0.7692226522</v>
      </c>
      <c r="T40" s="24">
        <f>(log(Sheet1!T40)-log(min(Sheet1!T$2:T$104)))/(log(max(Sheet1!T$2:T$104))-log(min(Sheet1!T$2:T$104)))</f>
        <v>0.2346950953</v>
      </c>
      <c r="U40" s="24">
        <f>(log(Sheet1!U40)-log(min(Sheet1!U$2:U$104)))/(log(max(Sheet1!U$2:U$104))-log(min(Sheet1!U$2:U$104)))</f>
        <v>0.2725177288</v>
      </c>
      <c r="V40" s="24"/>
      <c r="W40" s="24"/>
      <c r="X40" s="24"/>
      <c r="Y40" s="24"/>
      <c r="Z40" s="24"/>
      <c r="AA40" s="24"/>
      <c r="AB40" s="24"/>
    </row>
    <row r="41">
      <c r="A41" s="24" t="s">
        <v>92</v>
      </c>
      <c r="B41" s="25">
        <v>20530.0</v>
      </c>
      <c r="C41" s="24">
        <f>(log(Sheet1!C41)-log(min(Sheet1!$C$2:$C$104)))/(log(max(Sheet1!$C$2:$C$104))-log(min(Sheet1!$C$2:$C$104)))</f>
        <v>0.4036462978</v>
      </c>
      <c r="D41" s="24">
        <v>1.0</v>
      </c>
      <c r="E41" s="24">
        <v>0.632</v>
      </c>
      <c r="F41" s="24">
        <v>0.629032</v>
      </c>
      <c r="G41" s="24">
        <v>0.0</v>
      </c>
      <c r="H41" s="24">
        <f>(log(Sheet1!H41)-log(min(Sheet1!$H$2:$H$104)))/(log(max(Sheet1!$H$2:$H$104))-log(min(Sheet1!$H$2:$H$104)))</f>
        <v>0.2492769142</v>
      </c>
      <c r="I41" s="24">
        <f>(log(Sheet1!I41)-log(min(Sheet1!I$2:I$104)))/(log(max(Sheet1!I$2:I$104))-log(min(Sheet1!I$2:I$104)))</f>
        <v>0</v>
      </c>
      <c r="J41" s="24">
        <f>(log(Sheet1!J41)-log(min(Sheet1!J$2:J$104)))/(log(max(Sheet1!J$2:J$104))-log(min(Sheet1!J$2:J$104)))</f>
        <v>0.06987663736</v>
      </c>
      <c r="K41" s="24">
        <f>(log(Sheet1!K41)-log(min(Sheet1!K$2:K$104)))/(log(max(Sheet1!K$2:K$104))-log(min(Sheet1!K$2:K$104)))</f>
        <v>0.3505104985</v>
      </c>
      <c r="L41" s="24">
        <f>(log(Sheet1!L41)-log(min(Sheet1!L$2:L$104)))/(log(max(Sheet1!L$2:L$104))-log(min(Sheet1!L$2:L$104)))</f>
        <v>0.1339901206</v>
      </c>
      <c r="M41" s="24">
        <f>(log(Sheet1!M41)-log(min(Sheet1!M$2:M$104)))/(log(max(Sheet1!M$2:M$104))-log(min(Sheet1!M$2:M$104)))</f>
        <v>0.8602241487</v>
      </c>
      <c r="N41" s="24">
        <f>(log(Sheet1!N41)-log(min(Sheet1!N$2:N$104)))/(log(max(Sheet1!N$2:N$104))-log(min(Sheet1!N$2:N$104)))</f>
        <v>0.566382242</v>
      </c>
      <c r="O41" s="24">
        <f>(log(Sheet1!O41)-log(min(Sheet1!O$2:O$104)))/(log(max(Sheet1!O$2:O$104))-log(min(Sheet1!O$2:O$104)))</f>
        <v>0.2569079874</v>
      </c>
      <c r="P41" s="24">
        <f>(log(Sheet1!P41)-log(min(Sheet1!P$2:P$104)))/(log(max(Sheet1!P$2:P$104))-log(min(Sheet1!P$2:P$104)))</f>
        <v>0.8079975118</v>
      </c>
      <c r="Q41" s="24">
        <f>(log(Sheet1!Q41)-log(min(Sheet1!Q$2:Q$104)))/(log(max(Sheet1!Q$2:Q$104))-log(min(Sheet1!Q$2:Q$104)))</f>
        <v>0.5291983287</v>
      </c>
      <c r="R41" s="24">
        <f>(log(Sheet1!R41)-log(min(Sheet1!R$2:R$104)))/(log(max(Sheet1!R$2:R$104))-log(min(Sheet1!R$2:R$104)))</f>
        <v>0.6324015539</v>
      </c>
      <c r="S41" s="24">
        <f>(log(Sheet1!S41)-log(min(Sheet1!S$2:S$104)))/(log(max(Sheet1!S$2:S$104))-log(min(Sheet1!S$2:S$104)))</f>
        <v>0.9121381523</v>
      </c>
      <c r="T41" s="24">
        <f>(log(Sheet1!T41)-log(min(Sheet1!T$2:T$104)))/(log(max(Sheet1!T$2:T$104))-log(min(Sheet1!T$2:T$104)))</f>
        <v>0.2346950953</v>
      </c>
      <c r="U41" s="24">
        <f>(log(Sheet1!U41)-log(min(Sheet1!U$2:U$104)))/(log(max(Sheet1!U$2:U$104))-log(min(Sheet1!U$2:U$104)))</f>
        <v>0</v>
      </c>
      <c r="V41" s="24"/>
      <c r="W41" s="24"/>
      <c r="X41" s="24"/>
      <c r="Y41" s="24"/>
      <c r="Z41" s="24"/>
      <c r="AA41" s="24"/>
      <c r="AB41" s="24"/>
    </row>
    <row r="42">
      <c r="A42" s="27" t="s">
        <v>94</v>
      </c>
      <c r="B42" s="28">
        <f>549866-250000</f>
        <v>299866</v>
      </c>
      <c r="C42" s="24">
        <f>(log(Sheet1!C42)-log(min(Sheet1!$C$2:$C$104)))/(log(max(Sheet1!$C$2:$C$104))-log(min(Sheet1!$C$2:$C$104)))</f>
        <v>0.8305510448</v>
      </c>
      <c r="D42" s="24">
        <v>0.4</v>
      </c>
      <c r="E42" s="24">
        <v>0.654</v>
      </c>
      <c r="F42" s="24">
        <v>0.306452</v>
      </c>
      <c r="G42" s="24">
        <v>0.474</v>
      </c>
      <c r="H42" s="24">
        <f>(log(Sheet1!H42)-log(min(Sheet1!$H$2:$H$104)))/(log(max(Sheet1!$H$2:$H$104))-log(min(Sheet1!$H$2:$H$104)))</f>
        <v>0.4902985238</v>
      </c>
      <c r="I42" s="24">
        <f>(log(Sheet1!I42)-log(min(Sheet1!I$2:I$104)))/(log(max(Sheet1!I$2:I$104))-log(min(Sheet1!I$2:I$104)))</f>
        <v>0.7381942563</v>
      </c>
      <c r="J42" s="24">
        <f>(log(Sheet1!J42)-log(min(Sheet1!J$2:J$104)))/(log(max(Sheet1!J$2:J$104))-log(min(Sheet1!J$2:J$104)))</f>
        <v>0.7227121407</v>
      </c>
      <c r="K42" s="24">
        <f>(log(Sheet1!K42)-log(min(Sheet1!K$2:K$104)))/(log(max(Sheet1!K$2:K$104))-log(min(Sheet1!K$2:K$104)))</f>
        <v>0.6820163379</v>
      </c>
      <c r="L42" s="24">
        <f>(log(Sheet1!L42)-log(min(Sheet1!L$2:L$104)))/(log(max(Sheet1!L$2:L$104))-log(min(Sheet1!L$2:L$104)))</f>
        <v>0.4917027211</v>
      </c>
      <c r="M42" s="24">
        <f>(log(Sheet1!M42)-log(min(Sheet1!M$2:M$104)))/(log(max(Sheet1!M$2:M$104))-log(min(Sheet1!M$2:M$104)))</f>
        <v>0.8564199905</v>
      </c>
      <c r="N42" s="24">
        <f>(log(Sheet1!N42)-log(min(Sheet1!N$2:N$104)))/(log(max(Sheet1!N$2:N$104))-log(min(Sheet1!N$2:N$104)))</f>
        <v>0.566382242</v>
      </c>
      <c r="O42" s="24">
        <f>(log(Sheet1!O42)-log(min(Sheet1!O$2:O$104)))/(log(max(Sheet1!O$2:O$104))-log(min(Sheet1!O$2:O$104)))</f>
        <v>0.6326125088</v>
      </c>
      <c r="P42" s="24">
        <f>(log(Sheet1!P42)-log(min(Sheet1!P$2:P$104)))/(log(max(Sheet1!P$2:P$104))-log(min(Sheet1!P$2:P$104)))</f>
        <v>0.08796768821</v>
      </c>
      <c r="Q42" s="24">
        <f>(log(Sheet1!Q42)-log(min(Sheet1!Q$2:Q$104)))/(log(max(Sheet1!Q$2:Q$104))-log(min(Sheet1!Q$2:Q$104)))</f>
        <v>0.245394442</v>
      </c>
      <c r="R42" s="24">
        <f>(log(Sheet1!R42)-log(min(Sheet1!R$2:R$104)))/(log(max(Sheet1!R$2:R$104))-log(min(Sheet1!R$2:R$104)))</f>
        <v>0.9294410369</v>
      </c>
      <c r="S42" s="24">
        <f>(log(Sheet1!S42)-log(min(Sheet1!S$2:S$104)))/(log(max(Sheet1!S$2:S$104))-log(min(Sheet1!S$2:S$104)))</f>
        <v>0.5090242699</v>
      </c>
      <c r="T42" s="24">
        <f>(log(Sheet1!T42)-log(min(Sheet1!T$2:T$104)))/(log(max(Sheet1!T$2:T$104))-log(min(Sheet1!T$2:T$104)))</f>
        <v>0.2505471538</v>
      </c>
      <c r="U42" s="24">
        <f>(log(Sheet1!U42)-log(min(Sheet1!U$2:U$104)))/(log(max(Sheet1!U$2:U$104))-log(min(Sheet1!U$2:U$104)))</f>
        <v>0.3937598745</v>
      </c>
      <c r="V42" s="24"/>
      <c r="W42" s="24"/>
      <c r="X42" s="24"/>
      <c r="Y42" s="24"/>
      <c r="Z42" s="24"/>
      <c r="AA42" s="24"/>
      <c r="AB42" s="24"/>
    </row>
    <row r="43">
      <c r="A43" s="27" t="s">
        <v>95</v>
      </c>
      <c r="B43" s="28">
        <v>250000.0</v>
      </c>
      <c r="C43" s="24">
        <f>(log(Sheet1!C43)-log(min(Sheet1!$C$2:$C$104)))/(log(max(Sheet1!$C$2:$C$104))-log(min(Sheet1!$C$2:$C$104)))</f>
        <v>0.8305510448</v>
      </c>
      <c r="D43" s="24">
        <v>0.4</v>
      </c>
      <c r="E43" s="24">
        <v>0.654</v>
      </c>
      <c r="F43" s="24">
        <v>0.306452</v>
      </c>
      <c r="G43" s="24">
        <v>0.474</v>
      </c>
      <c r="H43" s="24">
        <f>(log(Sheet1!H43)-log(min(Sheet1!$H$2:$H$104)))/(log(max(Sheet1!$H$2:$H$104))-log(min(Sheet1!$H$2:$H$104)))</f>
        <v>0.4902985238</v>
      </c>
      <c r="I43" s="24">
        <f>(log(Sheet1!I43)-log(min(Sheet1!I$2:I$104)))/(log(max(Sheet1!I$2:I$104))-log(min(Sheet1!I$2:I$104)))</f>
        <v>0.7381942563</v>
      </c>
      <c r="J43" s="24">
        <f>(log(Sheet1!J43)-log(min(Sheet1!J$2:J$104)))/(log(max(Sheet1!J$2:J$104))-log(min(Sheet1!J$2:J$104)))</f>
        <v>0.7227121407</v>
      </c>
      <c r="K43" s="24">
        <f>(log(Sheet1!K43)-log(min(Sheet1!K$2:K$104)))/(log(max(Sheet1!K$2:K$104))-log(min(Sheet1!K$2:K$104)))</f>
        <v>0.6820163379</v>
      </c>
      <c r="L43" s="24">
        <f>(log(Sheet1!L43)-log(min(Sheet1!L$2:L$104)))/(log(max(Sheet1!L$2:L$104))-log(min(Sheet1!L$2:L$104)))</f>
        <v>0.4917027211</v>
      </c>
      <c r="M43" s="24">
        <f>(log(Sheet1!M43)-log(min(Sheet1!M$2:M$104)))/(log(max(Sheet1!M$2:M$104))-log(min(Sheet1!M$2:M$104)))</f>
        <v>0.8564199905</v>
      </c>
      <c r="N43" s="24">
        <f>(log(Sheet1!N43)-log(min(Sheet1!N$2:N$104)))/(log(max(Sheet1!N$2:N$104))-log(min(Sheet1!N$2:N$104)))</f>
        <v>0.566382242</v>
      </c>
      <c r="O43" s="24">
        <f>(log(Sheet1!O43)-log(min(Sheet1!O$2:O$104)))/(log(max(Sheet1!O$2:O$104))-log(min(Sheet1!O$2:O$104)))</f>
        <v>0.6326125088</v>
      </c>
      <c r="P43" s="24">
        <f>(log(Sheet1!P43)-log(min(Sheet1!P$2:P$104)))/(log(max(Sheet1!P$2:P$104))-log(min(Sheet1!P$2:P$104)))</f>
        <v>0.08796768821</v>
      </c>
      <c r="Q43" s="24">
        <f>(log(Sheet1!Q43)-log(min(Sheet1!Q$2:Q$104)))/(log(max(Sheet1!Q$2:Q$104))-log(min(Sheet1!Q$2:Q$104)))</f>
        <v>0.245394442</v>
      </c>
      <c r="R43" s="24">
        <f>(log(Sheet1!R43)-log(min(Sheet1!R$2:R$104)))/(log(max(Sheet1!R$2:R$104))-log(min(Sheet1!R$2:R$104)))</f>
        <v>0.9294410369</v>
      </c>
      <c r="S43" s="24">
        <f>(log(Sheet1!S43)-log(min(Sheet1!S$2:S$104)))/(log(max(Sheet1!S$2:S$104))-log(min(Sheet1!S$2:S$104)))</f>
        <v>0.5090242699</v>
      </c>
      <c r="T43" s="24">
        <f>(log(Sheet1!T43)-log(min(Sheet1!T$2:T$104)))/(log(max(Sheet1!T$2:T$104))-log(min(Sheet1!T$2:T$104)))</f>
        <v>0.2505471538</v>
      </c>
      <c r="U43" s="24">
        <f>(log(Sheet1!U43)-log(min(Sheet1!U$2:U$104)))/(log(max(Sheet1!U$2:U$104))-log(min(Sheet1!U$2:U$104)))</f>
        <v>0.3937598745</v>
      </c>
      <c r="V43" s="24"/>
      <c r="W43" s="24"/>
      <c r="X43" s="24"/>
      <c r="Y43" s="24"/>
      <c r="Z43" s="24"/>
      <c r="AA43" s="24"/>
      <c r="AB43" s="24"/>
    </row>
    <row r="44">
      <c r="A44" s="24" t="s">
        <v>96</v>
      </c>
      <c r="B44" s="25">
        <v>47298.0</v>
      </c>
      <c r="C44" s="24">
        <f>(log(Sheet1!C44)-log(min(Sheet1!$C$2:$C$104)))/(log(max(Sheet1!$C$2:$C$104))-log(min(Sheet1!$C$2:$C$104)))</f>
        <v>0.3728388025</v>
      </c>
      <c r="D44" s="24">
        <v>0.8</v>
      </c>
      <c r="E44" s="24">
        <v>0.585</v>
      </c>
      <c r="F44" s="24">
        <v>0.322581</v>
      </c>
      <c r="G44" s="24">
        <v>0.163</v>
      </c>
      <c r="H44" s="24">
        <f>(log(Sheet1!H44)-log(min(Sheet1!$H$2:$H$104)))/(log(max(Sheet1!$H$2:$H$104))-log(min(Sheet1!$H$2:$H$104)))</f>
        <v>0.1552532794</v>
      </c>
      <c r="I44" s="24">
        <f>(log(Sheet1!I44)-log(min(Sheet1!I$2:I$104)))/(log(max(Sheet1!I$2:I$104))-log(min(Sheet1!I$2:I$104)))</f>
        <v>0.1935824475</v>
      </c>
      <c r="J44" s="24">
        <f>(log(Sheet1!J44)-log(min(Sheet1!J$2:J$104)))/(log(max(Sheet1!J$2:J$104))-log(min(Sheet1!J$2:J$104)))</f>
        <v>0.2071215021</v>
      </c>
      <c r="K44" s="24">
        <f>(log(Sheet1!K44)-log(min(Sheet1!K$2:K$104)))/(log(max(Sheet1!K$2:K$104))-log(min(Sheet1!K$2:K$104)))</f>
        <v>0.5244053921</v>
      </c>
      <c r="L44" s="24">
        <f>(log(Sheet1!L44)-log(min(Sheet1!L$2:L$104)))/(log(max(Sheet1!L$2:L$104))-log(min(Sheet1!L$2:L$104)))</f>
        <v>0.4342237701</v>
      </c>
      <c r="M44" s="24">
        <f>(log(Sheet1!M44)-log(min(Sheet1!M$2:M$104)))/(log(max(Sheet1!M$2:M$104))-log(min(Sheet1!M$2:M$104)))</f>
        <v>0.9407053248</v>
      </c>
      <c r="N44" s="24">
        <f>(log(Sheet1!N44)-log(min(Sheet1!N$2:N$104)))/(log(max(Sheet1!N$2:N$104))-log(min(Sheet1!N$2:N$104)))</f>
        <v>0.6246464814</v>
      </c>
      <c r="O44" s="24">
        <f>(log(Sheet1!O44)-log(min(Sheet1!O$2:O$104)))/(log(max(Sheet1!O$2:O$104))-log(min(Sheet1!O$2:O$104)))</f>
        <v>1</v>
      </c>
      <c r="P44" s="24">
        <f>(log(Sheet1!P44)-log(min(Sheet1!P$2:P$104)))/(log(max(Sheet1!P$2:P$104))-log(min(Sheet1!P$2:P$104)))</f>
        <v>0.5811917762</v>
      </c>
      <c r="Q44" s="24">
        <f>(log(Sheet1!Q44)-log(min(Sheet1!Q$2:Q$104)))/(log(max(Sheet1!Q$2:Q$104))-log(min(Sheet1!Q$2:Q$104)))</f>
        <v>0.425924289</v>
      </c>
      <c r="R44" s="24">
        <f>(log(Sheet1!R44)-log(min(Sheet1!R$2:R$104)))/(log(max(Sheet1!R$2:R$104))-log(min(Sheet1!R$2:R$104)))</f>
        <v>0.8375877064</v>
      </c>
      <c r="S44" s="24">
        <f>(log(Sheet1!S44)-log(min(Sheet1!S$2:S$104)))/(log(max(Sheet1!S$2:S$104))-log(min(Sheet1!S$2:S$104)))</f>
        <v>0.9164228396</v>
      </c>
      <c r="T44" s="24">
        <f>(log(Sheet1!T44)-log(min(Sheet1!T$2:T$104)))/(log(max(Sheet1!T$2:T$104))-log(min(Sheet1!T$2:T$104)))</f>
        <v>0.2505471538</v>
      </c>
      <c r="U44" s="24">
        <f>(log(Sheet1!U44)-log(min(Sheet1!U$2:U$104)))/(log(max(Sheet1!U$2:U$104))-log(min(Sheet1!U$2:U$104)))</f>
        <v>0.2921233527</v>
      </c>
      <c r="V44" s="24"/>
      <c r="W44" s="24"/>
      <c r="X44" s="24"/>
      <c r="Y44" s="24"/>
      <c r="Z44" s="24"/>
      <c r="AA44" s="24"/>
      <c r="AB44" s="24"/>
    </row>
    <row r="45">
      <c r="A45" s="24" t="s">
        <v>98</v>
      </c>
      <c r="B45" s="25">
        <v>141477.0</v>
      </c>
      <c r="C45" s="24">
        <f>(log(Sheet1!C45)-log(min(Sheet1!$C$2:$C$104)))/(log(max(Sheet1!$C$2:$C$104))-log(min(Sheet1!$C$2:$C$104)))</f>
        <v>0.6120243108</v>
      </c>
      <c r="D45" s="24">
        <v>0.8</v>
      </c>
      <c r="E45" s="24">
        <v>0.597</v>
      </c>
      <c r="F45" s="24">
        <v>0.693548</v>
      </c>
      <c r="G45" s="24">
        <v>0.608</v>
      </c>
      <c r="H45" s="24">
        <f>(log(Sheet1!H45)-log(min(Sheet1!$H$2:$H$104)))/(log(max(Sheet1!$H$2:$H$104))-log(min(Sheet1!$H$2:$H$104)))</f>
        <v>0.7625954152</v>
      </c>
      <c r="I45" s="24">
        <f>(log(Sheet1!I45)-log(min(Sheet1!I$2:I$104)))/(log(max(Sheet1!I$2:I$104))-log(min(Sheet1!I$2:I$104)))</f>
        <v>0.6496206186</v>
      </c>
      <c r="J45" s="24">
        <f>(log(Sheet1!J45)-log(min(Sheet1!J$2:J$104)))/(log(max(Sheet1!J$2:J$104))-log(min(Sheet1!J$2:J$104)))</f>
        <v>0.4553725068</v>
      </c>
      <c r="K45" s="24">
        <f>(log(Sheet1!K45)-log(min(Sheet1!K$2:K$104)))/(log(max(Sheet1!K$2:K$104))-log(min(Sheet1!K$2:K$104)))</f>
        <v>0.5643117707</v>
      </c>
      <c r="L45" s="24">
        <f>(log(Sheet1!L45)-log(min(Sheet1!L$2:L$104)))/(log(max(Sheet1!L$2:L$104))-log(min(Sheet1!L$2:L$104)))</f>
        <v>0.421504383</v>
      </c>
      <c r="M45" s="24">
        <f>(log(Sheet1!M45)-log(min(Sheet1!M$2:M$104)))/(log(max(Sheet1!M$2:M$104))-log(min(Sheet1!M$2:M$104)))</f>
        <v>0.8744347103</v>
      </c>
      <c r="N45" s="24">
        <f>(log(Sheet1!N45)-log(min(Sheet1!N$2:N$104)))/(log(max(Sheet1!N$2:N$104))-log(min(Sheet1!N$2:N$104)))</f>
        <v>0.7681088313</v>
      </c>
      <c r="O45" s="24">
        <f>(log(Sheet1!O45)-log(min(Sheet1!O$2:O$104)))/(log(max(Sheet1!O$2:O$104))-log(min(Sheet1!O$2:O$104)))</f>
        <v>0.5396716133</v>
      </c>
      <c r="P45" s="24">
        <f>(log(Sheet1!P45)-log(min(Sheet1!P$2:P$104)))/(log(max(Sheet1!P$2:P$104))-log(min(Sheet1!P$2:P$104)))</f>
        <v>0.4478023627</v>
      </c>
      <c r="Q45" s="24">
        <f>(log(Sheet1!Q45)-log(min(Sheet1!Q$2:Q$104)))/(log(max(Sheet1!Q$2:Q$104))-log(min(Sheet1!Q$2:Q$104)))</f>
        <v>0.6874476562</v>
      </c>
      <c r="R45" s="24">
        <f>(log(Sheet1!R45)-log(min(Sheet1!R$2:R$104)))/(log(max(Sheet1!R$2:R$104))-log(min(Sheet1!R$2:R$104)))</f>
        <v>0.6324015539</v>
      </c>
      <c r="S45" s="24">
        <f>(log(Sheet1!S45)-log(min(Sheet1!S$2:S$104)))/(log(max(Sheet1!S$2:S$104))-log(min(Sheet1!S$2:S$104)))</f>
        <v>0.8421280439</v>
      </c>
      <c r="T45" s="24">
        <f>(log(Sheet1!T45)-log(min(Sheet1!T$2:T$104)))/(log(max(Sheet1!T$2:T$104))-log(min(Sheet1!T$2:T$104)))</f>
        <v>0.2980292884</v>
      </c>
      <c r="U45" s="24">
        <f>(log(Sheet1!U45)-log(min(Sheet1!U$2:U$104)))/(log(max(Sheet1!U$2:U$104))-log(min(Sheet1!U$2:U$104)))</f>
        <v>0.3625274467</v>
      </c>
      <c r="V45" s="24"/>
      <c r="W45" s="24"/>
      <c r="X45" s="24"/>
      <c r="Y45" s="24"/>
      <c r="Z45" s="24"/>
      <c r="AA45" s="24"/>
      <c r="AB45" s="24"/>
    </row>
    <row r="46">
      <c r="A46" s="24" t="s">
        <v>100</v>
      </c>
      <c r="B46" s="25">
        <v>62969.0</v>
      </c>
      <c r="C46" s="24">
        <f>(log(Sheet1!C46)-log(min(Sheet1!$C$2:$C$104)))/(log(max(Sheet1!$C$2:$C$104))-log(min(Sheet1!$C$2:$C$104)))</f>
        <v>0.4803639127</v>
      </c>
      <c r="D46" s="24">
        <v>0.8</v>
      </c>
      <c r="E46" s="24">
        <v>0.192</v>
      </c>
      <c r="F46" s="24">
        <v>0.709677</v>
      </c>
      <c r="G46" s="24">
        <v>0.151</v>
      </c>
      <c r="H46" s="24">
        <f>(log(Sheet1!H46)-log(min(Sheet1!$H$2:$H$104)))/(log(max(Sheet1!$H$2:$H$104))-log(min(Sheet1!$H$2:$H$104)))</f>
        <v>0.4810853228</v>
      </c>
      <c r="I46" s="24">
        <f>(log(Sheet1!I46)-log(min(Sheet1!I$2:I$104)))/(log(max(Sheet1!I$2:I$104))-log(min(Sheet1!I$2:I$104)))</f>
        <v>0.8090123139</v>
      </c>
      <c r="J46" s="24">
        <f>(log(Sheet1!J46)-log(min(Sheet1!J$2:J$104)))/(log(max(Sheet1!J$2:J$104))-log(min(Sheet1!J$2:J$104)))</f>
        <v>0.5741074837</v>
      </c>
      <c r="K46" s="24">
        <f>(log(Sheet1!K46)-log(min(Sheet1!K$2:K$104)))/(log(max(Sheet1!K$2:K$104))-log(min(Sheet1!K$2:K$104)))</f>
        <v>0.998490659</v>
      </c>
      <c r="L46" s="24">
        <f>(log(Sheet1!L46)-log(min(Sheet1!L$2:L$104)))/(log(max(Sheet1!L$2:L$104))-log(min(Sheet1!L$2:L$104)))</f>
        <v>0.2094938328</v>
      </c>
      <c r="M46" s="24">
        <f>(log(Sheet1!M46)-log(min(Sheet1!M$2:M$104)))/(log(max(Sheet1!M$2:M$104))-log(min(Sheet1!M$2:M$104)))</f>
        <v>0.7729959583</v>
      </c>
      <c r="N46" s="24">
        <f>(log(Sheet1!N46)-log(min(Sheet1!N$2:N$104)))/(log(max(Sheet1!N$2:N$104))-log(min(Sheet1!N$2:N$104)))</f>
        <v>0.4411782675</v>
      </c>
      <c r="O46" s="24">
        <f>(log(Sheet1!O46)-log(min(Sheet1!O$2:O$104)))/(log(max(Sheet1!O$2:O$104))-log(min(Sheet1!O$2:O$104)))</f>
        <v>0.3330937179</v>
      </c>
      <c r="P46" s="24">
        <f>(log(Sheet1!P46)-log(min(Sheet1!P$2:P$104)))/(log(max(Sheet1!P$2:P$104))-log(min(Sheet1!P$2:P$104)))</f>
        <v>0.5672952174</v>
      </c>
      <c r="Q46" s="24">
        <f>(log(Sheet1!Q46)-log(min(Sheet1!Q$2:Q$104)))/(log(max(Sheet1!Q$2:Q$104))-log(min(Sheet1!Q$2:Q$104)))</f>
        <v>0.3385921085</v>
      </c>
      <c r="R46" s="24">
        <f>(log(Sheet1!R46)-log(min(Sheet1!R$2:R$104)))/(log(max(Sheet1!R$2:R$104))-log(min(Sheet1!R$2:R$104)))</f>
        <v>0.8244940441</v>
      </c>
      <c r="S46" s="24">
        <f>(log(Sheet1!S46)-log(min(Sheet1!S$2:S$104)))/(log(max(Sheet1!S$2:S$104))-log(min(Sheet1!S$2:S$104)))</f>
        <v>0.4542637208</v>
      </c>
      <c r="T46" s="24">
        <f>(log(Sheet1!T46)-log(min(Sheet1!T$2:T$104)))/(log(max(Sheet1!T$2:T$104))-log(min(Sheet1!T$2:T$104)))</f>
        <v>0.2855421256</v>
      </c>
      <c r="U46" s="24">
        <f>(log(Sheet1!U46)-log(min(Sheet1!U$2:U$104)))/(log(max(Sheet1!U$2:U$104))-log(min(Sheet1!U$2:U$104)))</f>
        <v>0.5544852909</v>
      </c>
      <c r="V46" s="24"/>
      <c r="W46" s="24"/>
      <c r="X46" s="24"/>
      <c r="Y46" s="24"/>
      <c r="Z46" s="24"/>
      <c r="AA46" s="24"/>
      <c r="AB46" s="24"/>
    </row>
    <row r="47">
      <c r="A47" s="24" t="s">
        <v>101</v>
      </c>
      <c r="B47" s="25">
        <v>119230.0</v>
      </c>
      <c r="C47" s="24">
        <f>(log(Sheet1!C47)-log(min(Sheet1!$C$2:$C$104)))/(log(max(Sheet1!$C$2:$C$104))-log(min(Sheet1!$C$2:$C$104)))</f>
        <v>0.6620992797</v>
      </c>
      <c r="D47" s="24">
        <v>0.4</v>
      </c>
      <c r="E47" s="24">
        <v>0.359</v>
      </c>
      <c r="F47" s="24">
        <v>0.629032</v>
      </c>
      <c r="G47" s="24">
        <v>0.335</v>
      </c>
      <c r="H47" s="24">
        <f>(log(Sheet1!H47)-log(min(Sheet1!$H$2:$H$104)))/(log(max(Sheet1!$H$2:$H$104))-log(min(Sheet1!$H$2:$H$104)))</f>
        <v>0.7390341024</v>
      </c>
      <c r="I47" s="24">
        <f>(log(Sheet1!I47)-log(min(Sheet1!I$2:I$104)))/(log(max(Sheet1!I$2:I$104))-log(min(Sheet1!I$2:I$104)))</f>
        <v>0.7818942609</v>
      </c>
      <c r="J47" s="24">
        <f>(log(Sheet1!J47)-log(min(Sheet1!J$2:J$104)))/(log(max(Sheet1!J$2:J$104))-log(min(Sheet1!J$2:J$104)))</f>
        <v>0.6756958815</v>
      </c>
      <c r="K47" s="24">
        <f>(log(Sheet1!K47)-log(min(Sheet1!K$2:K$104)))/(log(max(Sheet1!K$2:K$104))-log(min(Sheet1!K$2:K$104)))</f>
        <v>0.960532255</v>
      </c>
      <c r="L47" s="24">
        <f>(log(Sheet1!L47)-log(min(Sheet1!L$2:L$104)))/(log(max(Sheet1!L$2:L$104))-log(min(Sheet1!L$2:L$104)))</f>
        <v>0.3027244135</v>
      </c>
      <c r="M47" s="24">
        <f>(log(Sheet1!M47)-log(min(Sheet1!M$2:M$104)))/(log(max(Sheet1!M$2:M$104))-log(min(Sheet1!M$2:M$104)))</f>
        <v>0.720830537</v>
      </c>
      <c r="N47" s="24">
        <f>(log(Sheet1!N47)-log(min(Sheet1!N$2:N$104)))/(log(max(Sheet1!N$2:N$104))-log(min(Sheet1!N$2:N$104)))</f>
        <v>0.5463522194</v>
      </c>
      <c r="O47" s="24">
        <f>(log(Sheet1!O47)-log(min(Sheet1!O$2:O$104)))/(log(max(Sheet1!O$2:O$104))-log(min(Sheet1!O$2:O$104)))</f>
        <v>0.1763664797</v>
      </c>
      <c r="P47" s="24">
        <f>(log(Sheet1!P47)-log(min(Sheet1!P$2:P$104)))/(log(max(Sheet1!P$2:P$104))-log(min(Sheet1!P$2:P$104)))</f>
        <v>0.3944017398</v>
      </c>
      <c r="Q47" s="24">
        <f>(log(Sheet1!Q47)-log(min(Sheet1!Q$2:Q$104)))/(log(max(Sheet1!Q$2:Q$104))-log(min(Sheet1!Q$2:Q$104)))</f>
        <v>0.2194474467</v>
      </c>
      <c r="R47" s="24">
        <f>(log(Sheet1!R47)-log(min(Sheet1!R$2:R$104)))/(log(max(Sheet1!R$2:R$104))-log(min(Sheet1!R$2:R$104)))</f>
        <v>0.6632418271</v>
      </c>
      <c r="S47" s="24">
        <f>(log(Sheet1!S47)-log(min(Sheet1!S$2:S$104)))/(log(max(Sheet1!S$2:S$104))-log(min(Sheet1!S$2:S$104)))</f>
        <v>0.5568954807</v>
      </c>
      <c r="T47" s="24">
        <f>(log(Sheet1!T47)-log(min(Sheet1!T$2:T$104)))/(log(max(Sheet1!T$2:T$104))-log(min(Sheet1!T$2:T$104)))</f>
        <v>0.2580379831</v>
      </c>
      <c r="U47" s="24">
        <f>(log(Sheet1!U47)-log(min(Sheet1!U$2:U$104)))/(log(max(Sheet1!U$2:U$104))-log(min(Sheet1!U$2:U$104)))</f>
        <v>0.3861660671</v>
      </c>
      <c r="V47" s="24"/>
      <c r="W47" s="24"/>
      <c r="X47" s="24"/>
      <c r="Y47" s="24"/>
      <c r="Z47" s="24"/>
      <c r="AA47" s="24"/>
      <c r="AB47" s="24"/>
    </row>
    <row r="48">
      <c r="A48" s="24" t="s">
        <v>102</v>
      </c>
      <c r="B48" s="25">
        <v>19453.0</v>
      </c>
      <c r="C48" s="24">
        <f>(log(Sheet1!C48)-log(min(Sheet1!$C$2:$C$104)))/(log(max(Sheet1!$C$2:$C$104))-log(min(Sheet1!$C$2:$C$104)))</f>
        <v>0.3381299771</v>
      </c>
      <c r="D48" s="24">
        <v>1.0</v>
      </c>
      <c r="E48" s="24">
        <v>0.575</v>
      </c>
      <c r="F48" s="24">
        <v>0.241935</v>
      </c>
      <c r="G48" s="24">
        <v>0.456</v>
      </c>
      <c r="H48" s="24">
        <f>(log(Sheet1!H48)-log(min(Sheet1!$H$2:$H$104)))/(log(max(Sheet1!$H$2:$H$104))-log(min(Sheet1!$H$2:$H$104)))</f>
        <v>0.7225850078</v>
      </c>
      <c r="I48" s="24">
        <f>(log(Sheet1!I48)-log(min(Sheet1!I$2:I$104)))/(log(max(Sheet1!I$2:I$104))-log(min(Sheet1!I$2:I$104)))</f>
        <v>0.4210007804</v>
      </c>
      <c r="J48" s="24">
        <f>(log(Sheet1!J48)-log(min(Sheet1!J$2:J$104)))/(log(max(Sheet1!J$2:J$104))-log(min(Sheet1!J$2:J$104)))</f>
        <v>0.2498700253</v>
      </c>
      <c r="K48" s="24">
        <f>(log(Sheet1!K48)-log(min(Sheet1!K$2:K$104)))/(log(max(Sheet1!K$2:K$104))-log(min(Sheet1!K$2:K$104)))</f>
        <v>0.2880129031</v>
      </c>
      <c r="L48" s="24">
        <f>(log(Sheet1!L48)-log(min(Sheet1!L$2:L$104)))/(log(max(Sheet1!L$2:L$104))-log(min(Sheet1!L$2:L$104)))</f>
        <v>0.4373014636</v>
      </c>
      <c r="M48" s="24">
        <f>(log(Sheet1!M48)-log(min(Sheet1!M$2:M$104)))/(log(max(Sheet1!M$2:M$104))-log(min(Sheet1!M$2:M$104)))</f>
        <v>0.8125515064</v>
      </c>
      <c r="N48" s="24">
        <f>(log(Sheet1!N48)-log(min(Sheet1!N$2:N$104)))/(log(max(Sheet1!N$2:N$104))-log(min(Sheet1!N$2:N$104)))</f>
        <v>0.5260017028</v>
      </c>
      <c r="O48" s="24">
        <f>(log(Sheet1!O48)-log(min(Sheet1!O$2:O$104)))/(log(max(Sheet1!O$2:O$104))-log(min(Sheet1!O$2:O$104)))</f>
        <v>0.6326125088</v>
      </c>
      <c r="P48" s="24">
        <f>(log(Sheet1!P48)-log(min(Sheet1!P$2:P$104)))/(log(max(Sheet1!P$2:P$104))-log(min(Sheet1!P$2:P$104)))</f>
        <v>0.7264378631</v>
      </c>
      <c r="Q48" s="24">
        <f>(log(Sheet1!Q48)-log(min(Sheet1!Q$2:Q$104)))/(log(max(Sheet1!Q$2:Q$104))-log(min(Sheet1!Q$2:Q$104)))</f>
        <v>0.5080857721</v>
      </c>
      <c r="R48" s="24">
        <f>(log(Sheet1!R48)-log(min(Sheet1!R$2:R$104)))/(log(max(Sheet1!R$2:R$104))-log(min(Sheet1!R$2:R$104)))</f>
        <v>0.5226992692</v>
      </c>
      <c r="S48" s="24">
        <f>(log(Sheet1!S48)-log(min(Sheet1!S$2:S$104)))/(log(max(Sheet1!S$2:S$104))-log(min(Sheet1!S$2:S$104)))</f>
        <v>0.9711964757</v>
      </c>
      <c r="T48" s="24">
        <f>(log(Sheet1!T48)-log(min(Sheet1!T$2:T$104)))/(log(max(Sheet1!T$2:T$104))-log(min(Sheet1!T$2:T$104)))</f>
        <v>0.2083646033</v>
      </c>
      <c r="U48" s="24">
        <f>(log(Sheet1!U48)-log(min(Sheet1!U$2:U$104)))/(log(max(Sheet1!U$2:U$104))-log(min(Sheet1!U$2:U$104)))</f>
        <v>0.2623619382</v>
      </c>
      <c r="V48" s="24"/>
      <c r="W48" s="24"/>
      <c r="X48" s="24"/>
      <c r="Y48" s="24"/>
      <c r="Z48" s="24"/>
      <c r="AA48" s="24"/>
      <c r="AB48" s="24"/>
    </row>
    <row r="49">
      <c r="A49" s="24" t="s">
        <v>104</v>
      </c>
      <c r="B49" s="25">
        <v>54446.0</v>
      </c>
      <c r="C49" s="24">
        <f>(log(Sheet1!C49)-log(min(Sheet1!$C$2:$C$104)))/(log(max(Sheet1!$C$2:$C$104))-log(min(Sheet1!$C$2:$C$104)))</f>
        <v>0.5168730866</v>
      </c>
      <c r="D49" s="24">
        <v>0.4</v>
      </c>
      <c r="E49" s="24">
        <v>0.727</v>
      </c>
      <c r="F49" s="24">
        <v>0.419355</v>
      </c>
      <c r="G49" s="24">
        <v>0.114</v>
      </c>
      <c r="H49" s="24">
        <f>(log(Sheet1!H49)-log(min(Sheet1!$H$2:$H$104)))/(log(max(Sheet1!$H$2:$H$104))-log(min(Sheet1!$H$2:$H$104)))</f>
        <v>0</v>
      </c>
      <c r="I49" s="24">
        <f>(log(Sheet1!I49)-log(min(Sheet1!I$2:I$104)))/(log(max(Sheet1!I$2:I$104))-log(min(Sheet1!I$2:I$104)))</f>
        <v>0.6607793078</v>
      </c>
      <c r="J49" s="24">
        <f>(log(Sheet1!J49)-log(min(Sheet1!J$2:J$104)))/(log(max(Sheet1!J$2:J$104))-log(min(Sheet1!J$2:J$104)))</f>
        <v>0.3893473921</v>
      </c>
      <c r="K49" s="24">
        <f>(log(Sheet1!K49)-log(min(Sheet1!K$2:K$104)))/(log(max(Sheet1!K$2:K$104))-log(min(Sheet1!K$2:K$104)))</f>
        <v>0.5819475183</v>
      </c>
      <c r="L49" s="24">
        <f>(log(Sheet1!L49)-log(min(Sheet1!L$2:L$104)))/(log(max(Sheet1!L$2:L$104))-log(min(Sheet1!L$2:L$104)))</f>
        <v>0.26600951</v>
      </c>
      <c r="M49" s="24">
        <f>(log(Sheet1!M49)-log(min(Sheet1!M$2:M$104)))/(log(max(Sheet1!M$2:M$104))-log(min(Sheet1!M$2:M$104)))</f>
        <v>0.7356874712</v>
      </c>
      <c r="N49" s="24">
        <f>(log(Sheet1!N49)-log(min(Sheet1!N$2:N$104)))/(log(max(Sheet1!N$2:N$104))-log(min(Sheet1!N$2:N$104)))</f>
        <v>0.7337315994</v>
      </c>
      <c r="O49" s="24">
        <f>(log(Sheet1!O49)-log(min(Sheet1!O$2:O$104)))/(log(max(Sheet1!O$2:O$104))-log(min(Sheet1!O$2:O$104)))</f>
        <v>0.691333204</v>
      </c>
      <c r="P49" s="24">
        <f>(log(Sheet1!P49)-log(min(Sheet1!P$2:P$104)))/(log(max(Sheet1!P$2:P$104))-log(min(Sheet1!P$2:P$104)))</f>
        <v>0.7106176866</v>
      </c>
      <c r="Q49" s="24">
        <f>(log(Sheet1!Q49)-log(min(Sheet1!Q$2:Q$104)))/(log(max(Sheet1!Q$2:Q$104))-log(min(Sheet1!Q$2:Q$104)))</f>
        <v>0.5806162007</v>
      </c>
      <c r="R49" s="24">
        <f>(log(Sheet1!R49)-log(min(Sheet1!R$2:R$104)))/(log(max(Sheet1!R$2:R$104))-log(min(Sheet1!R$2:R$104)))</f>
        <v>0.478378735</v>
      </c>
      <c r="S49" s="24">
        <f>(log(Sheet1!S49)-log(min(Sheet1!S$2:S$104)))/(log(max(Sheet1!S$2:S$104))-log(min(Sheet1!S$2:S$104)))</f>
        <v>0.6736356726</v>
      </c>
      <c r="T49" s="24">
        <f>(log(Sheet1!T49)-log(min(Sheet1!T$2:T$104)))/(log(max(Sheet1!T$2:T$104))-log(min(Sheet1!T$2:T$104)))</f>
        <v>0.1552582256</v>
      </c>
      <c r="U49" s="24">
        <f>(log(Sheet1!U49)-log(min(Sheet1!U$2:U$104)))/(log(max(Sheet1!U$2:U$104))-log(min(Sheet1!U$2:U$104)))</f>
        <v>0.3374837485</v>
      </c>
      <c r="V49" s="24"/>
      <c r="W49" s="24"/>
      <c r="X49" s="24"/>
      <c r="Y49" s="24"/>
      <c r="Z49" s="24"/>
      <c r="AA49" s="24"/>
      <c r="AB49" s="24"/>
    </row>
    <row r="50">
      <c r="A50" s="24" t="s">
        <v>106</v>
      </c>
      <c r="B50" s="25">
        <v>4607.0</v>
      </c>
      <c r="C50" s="24">
        <f>(log(Sheet1!C50)-log(min(Sheet1!$C$2:$C$104)))/(log(max(Sheet1!$C$2:$C$104))-log(min(Sheet1!$C$2:$C$104)))</f>
        <v>0</v>
      </c>
      <c r="D50" s="24">
        <v>1.0</v>
      </c>
      <c r="E50" s="24">
        <v>0.523</v>
      </c>
      <c r="F50" s="24">
        <v>0.645161</v>
      </c>
      <c r="G50" s="24">
        <v>0.108</v>
      </c>
      <c r="H50" s="24">
        <f>(log(Sheet1!H50)-log(min(Sheet1!$H$2:$H$104)))/(log(max(Sheet1!$H$2:$H$104))-log(min(Sheet1!$H$2:$H$104)))</f>
        <v>0.4509654002</v>
      </c>
      <c r="I50" s="24">
        <f>(log(Sheet1!I50)-log(min(Sheet1!I$2:I$104)))/(log(max(Sheet1!I$2:I$104))-log(min(Sheet1!I$2:I$104)))</f>
        <v>0.542340459</v>
      </c>
      <c r="J50" s="24">
        <f>(log(Sheet1!J50)-log(min(Sheet1!J$2:J$104)))/(log(max(Sheet1!J$2:J$104))-log(min(Sheet1!J$2:J$104)))</f>
        <v>0.1363537781</v>
      </c>
      <c r="K50" s="24">
        <f>(log(Sheet1!K50)-log(min(Sheet1!K$2:K$104)))/(log(max(Sheet1!K$2:K$104))-log(min(Sheet1!K$2:K$104)))</f>
        <v>0.1591789647</v>
      </c>
      <c r="L50" s="24">
        <f>(log(Sheet1!L50)-log(min(Sheet1!L$2:L$104)))/(log(max(Sheet1!L$2:L$104))-log(min(Sheet1!L$2:L$104)))</f>
        <v>0.9586370069</v>
      </c>
      <c r="M50" s="24">
        <f>(log(Sheet1!M50)-log(min(Sheet1!M$2:M$104)))/(log(max(Sheet1!M$2:M$104))-log(min(Sheet1!M$2:M$104)))</f>
        <v>0.8781942037</v>
      </c>
      <c r="N50" s="24">
        <f>(log(Sheet1!N50)-log(min(Sheet1!N$2:N$104)))/(log(max(Sheet1!N$2:N$104))-log(min(Sheet1!N$2:N$104)))</f>
        <v>0.373628935</v>
      </c>
      <c r="O50" s="24">
        <f>(log(Sheet1!O50)-log(min(Sheet1!O$2:O$104)))/(log(max(Sheet1!O$2:O$104))-log(min(Sheet1!O$2:O$104)))</f>
        <v>0.571337952</v>
      </c>
      <c r="P50" s="24">
        <f>(log(Sheet1!P50)-log(min(Sheet1!P$2:P$104)))/(log(max(Sheet1!P$2:P$104))-log(min(Sheet1!P$2:P$104)))</f>
        <v>0.9963312773</v>
      </c>
      <c r="Q50" s="24">
        <f>(log(Sheet1!Q50)-log(min(Sheet1!Q$2:Q$104)))/(log(max(Sheet1!Q$2:Q$104))-log(min(Sheet1!Q$2:Q$104)))</f>
        <v>0.2128842012</v>
      </c>
      <c r="R50" s="24">
        <f>(log(Sheet1!R50)-log(min(Sheet1!R$2:R$104)))/(log(max(Sheet1!R$2:R$104))-log(min(Sheet1!R$2:R$104)))</f>
        <v>0.3510750654</v>
      </c>
      <c r="S50" s="24">
        <f>(log(Sheet1!S50)-log(min(Sheet1!S$2:S$104)))/(log(max(Sheet1!S$2:S$104))-log(min(Sheet1!S$2:S$104)))</f>
        <v>0.8421280439</v>
      </c>
      <c r="T50" s="24">
        <f>(log(Sheet1!T50)-log(min(Sheet1!T$2:T$104)))/(log(max(Sheet1!T$2:T$104))-log(min(Sheet1!T$2:T$104)))</f>
        <v>0</v>
      </c>
      <c r="U50" s="24">
        <f>(log(Sheet1!U50)-log(min(Sheet1!U$2:U$104)))/(log(max(Sheet1!U$2:U$104))-log(min(Sheet1!U$2:U$104)))</f>
        <v>0.1834625863</v>
      </c>
      <c r="V50" s="24"/>
      <c r="W50" s="24"/>
      <c r="X50" s="24"/>
      <c r="Y50" s="24"/>
      <c r="Z50" s="24"/>
      <c r="AA50" s="24"/>
      <c r="AB50" s="24"/>
    </row>
    <row r="51">
      <c r="A51" s="24" t="s">
        <v>107</v>
      </c>
      <c r="B51" s="25">
        <v>199710.0</v>
      </c>
      <c r="C51" s="24">
        <f>(log(Sheet1!C51)-log(min(Sheet1!$C$2:$C$104)))/(log(max(Sheet1!$C$2:$C$104))-log(min(Sheet1!$C$2:$C$104)))</f>
        <v>0.6793244453</v>
      </c>
      <c r="D51" s="24">
        <v>0.2</v>
      </c>
      <c r="E51" s="24">
        <v>0.444</v>
      </c>
      <c r="F51" s="24">
        <v>0.758065</v>
      </c>
      <c r="G51" s="24">
        <v>0.264</v>
      </c>
      <c r="H51" s="24">
        <f>(log(Sheet1!H51)-log(min(Sheet1!$H$2:$H$104)))/(log(max(Sheet1!$H$2:$H$104))-log(min(Sheet1!$H$2:$H$104)))</f>
        <v>0.7527866172</v>
      </c>
      <c r="I51" s="24">
        <f>(log(Sheet1!I51)-log(min(Sheet1!I$2:I$104)))/(log(max(Sheet1!I$2:I$104))-log(min(Sheet1!I$2:I$104)))</f>
        <v>0.7873297589</v>
      </c>
      <c r="J51" s="24">
        <f>(log(Sheet1!J51)-log(min(Sheet1!J$2:J$104)))/(log(max(Sheet1!J$2:J$104))-log(min(Sheet1!J$2:J$104)))</f>
        <v>0.6455164362</v>
      </c>
      <c r="K51" s="24">
        <f>(log(Sheet1!K51)-log(min(Sheet1!K$2:K$104)))/(log(max(Sheet1!K$2:K$104))-log(min(Sheet1!K$2:K$104)))</f>
        <v>0.7760696651</v>
      </c>
      <c r="L51" s="24">
        <f>(log(Sheet1!L51)-log(min(Sheet1!L$2:L$104)))/(log(max(Sheet1!L$2:L$104))-log(min(Sheet1!L$2:L$104)))</f>
        <v>0.5647573426</v>
      </c>
      <c r="M51" s="24">
        <f>(log(Sheet1!M51)-log(min(Sheet1!M$2:M$104)))/(log(max(Sheet1!M$2:M$104))-log(min(Sheet1!M$2:M$104)))</f>
        <v>0.8859354017</v>
      </c>
      <c r="N51" s="24">
        <f>(log(Sheet1!N51)-log(min(Sheet1!N$2:N$104)))/(log(max(Sheet1!N$2:N$104))-log(min(Sheet1!N$2:N$104)))</f>
        <v>0.9421773089</v>
      </c>
      <c r="O51" s="24">
        <f>(log(Sheet1!O51)-log(min(Sheet1!O$2:O$104)))/(log(max(Sheet1!O$2:O$104))-log(min(Sheet1!O$2:O$104)))</f>
        <v>0.2955156838</v>
      </c>
      <c r="P51" s="24">
        <f>(log(Sheet1!P51)-log(min(Sheet1!P$2:P$104)))/(log(max(Sheet1!P$2:P$104))-log(min(Sheet1!P$2:P$104)))</f>
        <v>0.3418927125</v>
      </c>
      <c r="Q51" s="24">
        <f>(log(Sheet1!Q51)-log(min(Sheet1!Q$2:Q$104)))/(log(max(Sheet1!Q$2:Q$104))-log(min(Sheet1!Q$2:Q$104)))</f>
        <v>0.492037919</v>
      </c>
      <c r="R51" s="24">
        <f>(log(Sheet1!R51)-log(min(Sheet1!R$2:R$104)))/(log(max(Sheet1!R$2:R$104))-log(min(Sheet1!R$2:R$104)))</f>
        <v>0.7824701617</v>
      </c>
      <c r="S51" s="24">
        <f>(log(Sheet1!S51)-log(min(Sheet1!S$2:S$104)))/(log(max(Sheet1!S$2:S$104))-log(min(Sheet1!S$2:S$104)))</f>
        <v>0.5777613804</v>
      </c>
      <c r="T51" s="24">
        <f>(log(Sheet1!T51)-log(min(Sheet1!T$2:T$104)))/(log(max(Sheet1!T$2:T$104))-log(min(Sheet1!T$2:T$104)))</f>
        <v>0.2790026841</v>
      </c>
      <c r="U51" s="24">
        <f>(log(Sheet1!U51)-log(min(Sheet1!U$2:U$104)))/(log(max(Sheet1!U$2:U$104))-log(min(Sheet1!U$2:U$104)))</f>
        <v>0.4433989356</v>
      </c>
      <c r="V51" s="24"/>
      <c r="W51" s="24"/>
      <c r="X51" s="24"/>
      <c r="Y51" s="24"/>
      <c r="Z51" s="24"/>
      <c r="AA51" s="24"/>
      <c r="AB51" s="24"/>
    </row>
    <row r="52">
      <c r="A52" s="24" t="s">
        <v>108</v>
      </c>
      <c r="B52" s="25">
        <v>44574.0</v>
      </c>
      <c r="C52" s="24">
        <f>(log(Sheet1!C52)-log(min(Sheet1!$C$2:$C$104)))/(log(max(Sheet1!$C$2:$C$104))-log(min(Sheet1!$C$2:$C$104)))</f>
        <v>0.4376250286</v>
      </c>
      <c r="D52" s="24">
        <v>1.0</v>
      </c>
      <c r="E52" s="24">
        <v>0.405</v>
      </c>
      <c r="F52" s="24">
        <v>0.564516</v>
      </c>
      <c r="G52" s="24">
        <v>0.66</v>
      </c>
      <c r="H52" s="24">
        <f>(log(Sheet1!H52)-log(min(Sheet1!$H$2:$H$104)))/(log(max(Sheet1!$H$2:$H$104))-log(min(Sheet1!$H$2:$H$104)))</f>
        <v>0.604556629</v>
      </c>
      <c r="I52" s="24">
        <f>(log(Sheet1!I52)-log(min(Sheet1!I$2:I$104)))/(log(max(Sheet1!I$2:I$104))-log(min(Sheet1!I$2:I$104)))</f>
        <v>0.7106847137</v>
      </c>
      <c r="J52" s="24">
        <f>(log(Sheet1!J52)-log(min(Sheet1!J$2:J$104)))/(log(max(Sheet1!J$2:J$104))-log(min(Sheet1!J$2:J$104)))</f>
        <v>0.5856892326</v>
      </c>
      <c r="K52" s="24">
        <f>(log(Sheet1!K52)-log(min(Sheet1!K$2:K$104)))/(log(max(Sheet1!K$2:K$104))-log(min(Sheet1!K$2:K$104)))</f>
        <v>0.993045936</v>
      </c>
      <c r="L52" s="24">
        <f>(log(Sheet1!L52)-log(min(Sheet1!L$2:L$104)))/(log(max(Sheet1!L$2:L$104))-log(min(Sheet1!L$2:L$104)))</f>
        <v>0.3649303381</v>
      </c>
      <c r="M52" s="24">
        <f>(log(Sheet1!M52)-log(min(Sheet1!M$2:M$104)))/(log(max(Sheet1!M$2:M$104))-log(min(Sheet1!M$2:M$104)))</f>
        <v>0.6713123213</v>
      </c>
      <c r="N52" s="24">
        <f>(log(Sheet1!N52)-log(min(Sheet1!N$2:N$104)))/(log(max(Sheet1!N$2:N$104))-log(min(Sheet1!N$2:N$104)))</f>
        <v>0.5463522194</v>
      </c>
      <c r="O52" s="24">
        <f>(log(Sheet1!O52)-log(min(Sheet1!O$2:O$104)))/(log(max(Sheet1!O$2:O$104))-log(min(Sheet1!O$2:O$104)))</f>
        <v>0.3330937179</v>
      </c>
      <c r="P52" s="24">
        <f>(log(Sheet1!P52)-log(min(Sheet1!P$2:P$104)))/(log(max(Sheet1!P$2:P$104))-log(min(Sheet1!P$2:P$104)))</f>
        <v>0.5957541197</v>
      </c>
      <c r="Q52" s="24">
        <f>(log(Sheet1!Q52)-log(min(Sheet1!Q$2:Q$104)))/(log(max(Sheet1!Q$2:Q$104))-log(min(Sheet1!Q$2:Q$104)))</f>
        <v>0.1316049578</v>
      </c>
      <c r="R52" s="24">
        <f>(log(Sheet1!R52)-log(min(Sheet1!R$2:R$104)))/(log(max(Sheet1!R$2:R$104))-log(min(Sheet1!R$2:R$104)))</f>
        <v>0.7518240375</v>
      </c>
      <c r="S52" s="24">
        <f>(log(Sheet1!S52)-log(min(Sheet1!S$2:S$104)))/(log(max(Sheet1!S$2:S$104))-log(min(Sheet1!S$2:S$104)))</f>
        <v>0.3919952031</v>
      </c>
      <c r="T52" s="24">
        <f>(log(Sheet1!T52)-log(min(Sheet1!T$2:T$104)))/(log(max(Sheet1!T$2:T$104))-log(min(Sheet1!T$2:T$104)))</f>
        <v>0.1987826382</v>
      </c>
      <c r="U52" s="24">
        <f>(log(Sheet1!U52)-log(min(Sheet1!U$2:U$104)))/(log(max(Sheet1!U$2:U$104))-log(min(Sheet1!U$2:U$104)))</f>
        <v>0.4630045595</v>
      </c>
      <c r="V52" s="24"/>
      <c r="W52" s="24"/>
      <c r="X52" s="24"/>
      <c r="Y52" s="24"/>
      <c r="Z52" s="24"/>
      <c r="AA52" s="24"/>
      <c r="AB52" s="24"/>
    </row>
    <row r="53">
      <c r="A53" s="24" t="s">
        <v>109</v>
      </c>
      <c r="B53" s="25">
        <v>241955.0</v>
      </c>
      <c r="C53" s="24">
        <f>(log(Sheet1!C53)-log(min(Sheet1!$C$2:$C$104)))/(log(max(Sheet1!$C$2:$C$104))-log(min(Sheet1!$C$2:$C$104)))</f>
        <v>0.6579334356</v>
      </c>
      <c r="D53" s="24">
        <v>0.2</v>
      </c>
      <c r="E53" s="24">
        <v>0.55</v>
      </c>
      <c r="F53" s="24">
        <v>0.677419</v>
      </c>
      <c r="G53" s="24">
        <v>0.168</v>
      </c>
      <c r="H53" s="24">
        <f>(log(Sheet1!H53)-log(min(Sheet1!$H$2:$H$104)))/(log(max(Sheet1!$H$2:$H$104))-log(min(Sheet1!$H$2:$H$104)))</f>
        <v>1</v>
      </c>
      <c r="I53" s="24">
        <f>(log(Sheet1!I53)-log(min(Sheet1!I$2:I$104)))/(log(max(Sheet1!I$2:I$104))-log(min(Sheet1!I$2:I$104)))</f>
        <v>0.69410537</v>
      </c>
      <c r="J53" s="24">
        <f>(log(Sheet1!J53)-log(min(Sheet1!J$2:J$104)))/(log(max(Sheet1!J$2:J$104))-log(min(Sheet1!J$2:J$104)))</f>
        <v>0.5378884682</v>
      </c>
      <c r="K53" s="24">
        <f>(log(Sheet1!K53)-log(min(Sheet1!K$2:K$104)))/(log(max(Sheet1!K$2:K$104))-log(min(Sheet1!K$2:K$104)))</f>
        <v>0.5169453334</v>
      </c>
      <c r="L53" s="24">
        <f>(log(Sheet1!L53)-log(min(Sheet1!L$2:L$104)))/(log(max(Sheet1!L$2:L$104))-log(min(Sheet1!L$2:L$104)))</f>
        <v>0.3765578032</v>
      </c>
      <c r="M53" s="24">
        <f>(log(Sheet1!M53)-log(min(Sheet1!M$2:M$104)))/(log(max(Sheet1!M$2:M$104))-log(min(Sheet1!M$2:M$104)))</f>
        <v>0.9339612022</v>
      </c>
      <c r="N53" s="24">
        <f>(log(Sheet1!N53)-log(min(Sheet1!N$2:N$104)))/(log(max(Sheet1!N$2:N$104))-log(min(Sheet1!N$2:N$104)))</f>
        <v>0.6055201038</v>
      </c>
      <c r="O53" s="24">
        <f>(log(Sheet1!O53)-log(min(Sheet1!O$2:O$104)))/(log(max(Sheet1!O$2:O$104))-log(min(Sheet1!O$2:O$104)))</f>
        <v>0.1763664797</v>
      </c>
      <c r="P53" s="24">
        <f>(log(Sheet1!P53)-log(min(Sheet1!P$2:P$104)))/(log(max(Sheet1!P$2:P$104))-log(min(Sheet1!P$2:P$104)))</f>
        <v>0.4651415299</v>
      </c>
      <c r="Q53" s="24">
        <f>(log(Sheet1!Q53)-log(min(Sheet1!Q$2:Q$104)))/(log(max(Sheet1!Q$2:Q$104))-log(min(Sheet1!Q$2:Q$104)))</f>
        <v>0.7197847819</v>
      </c>
      <c r="R53" s="24">
        <f>(log(Sheet1!R53)-log(min(Sheet1!R$2:R$104)))/(log(max(Sheet1!R$2:R$104))-log(min(Sheet1!R$2:R$104)))</f>
        <v>0.5872585912</v>
      </c>
      <c r="S53" s="24">
        <f>(log(Sheet1!S53)-log(min(Sheet1!S$2:S$104)))/(log(max(Sheet1!S$2:S$104))-log(min(Sheet1!S$2:S$104)))</f>
        <v>0.717292185</v>
      </c>
      <c r="T53" s="24">
        <f>(log(Sheet1!T53)-log(min(Sheet1!T$2:T$104)))/(log(max(Sheet1!T$2:T$104))-log(min(Sheet1!T$2:T$104)))</f>
        <v>0.2855421256</v>
      </c>
      <c r="U53" s="24">
        <f>(log(Sheet1!U53)-log(min(Sheet1!U$2:U$104)))/(log(max(Sheet1!U$2:U$104))-log(min(Sheet1!U$2:U$104)))</f>
        <v>0.3784329159</v>
      </c>
      <c r="V53" s="24"/>
      <c r="W53" s="24"/>
      <c r="X53" s="24"/>
      <c r="Y53" s="24"/>
      <c r="Z53" s="24"/>
      <c r="AA53" s="24"/>
      <c r="AB53" s="24"/>
    </row>
    <row r="54">
      <c r="A54" s="24" t="s">
        <v>110</v>
      </c>
      <c r="B54" s="25">
        <v>9401.0</v>
      </c>
      <c r="C54" s="24">
        <f>(log(Sheet1!C54)-log(min(Sheet1!$C$2:$C$104)))/(log(max(Sheet1!$C$2:$C$104))-log(min(Sheet1!$C$2:$C$104)))</f>
        <v>0.1688041444</v>
      </c>
      <c r="D54" s="24">
        <v>0.8</v>
      </c>
      <c r="E54" s="24">
        <v>0.521</v>
      </c>
      <c r="F54" s="24">
        <v>0.693548</v>
      </c>
      <c r="G54" s="24">
        <v>0.579</v>
      </c>
      <c r="H54" s="24">
        <f>(log(Sheet1!H54)-log(min(Sheet1!$H$2:$H$104)))/(log(max(Sheet1!$H$2:$H$104))-log(min(Sheet1!$H$2:$H$104)))</f>
        <v>0.5228099473</v>
      </c>
      <c r="I54" s="24">
        <f>(log(Sheet1!I54)-log(min(Sheet1!I$2:I$104)))/(log(max(Sheet1!I$2:I$104))-log(min(Sheet1!I$2:I$104)))</f>
        <v>0.5251871034</v>
      </c>
      <c r="J54" s="24">
        <f>(log(Sheet1!J54)-log(min(Sheet1!J$2:J$104)))/(log(max(Sheet1!J$2:J$104))-log(min(Sheet1!J$2:J$104)))</f>
        <v>0.2896508639</v>
      </c>
      <c r="K54" s="24">
        <f>(log(Sheet1!K54)-log(min(Sheet1!K$2:K$104)))/(log(max(Sheet1!K$2:K$104))-log(min(Sheet1!K$2:K$104)))</f>
        <v>0.3339494563</v>
      </c>
      <c r="L54" s="24">
        <f>(log(Sheet1!L54)-log(min(Sheet1!L$2:L$104)))/(log(max(Sheet1!L$2:L$104))-log(min(Sheet1!L$2:L$104)))</f>
        <v>0.3193391152</v>
      </c>
      <c r="M54" s="24">
        <f>(log(Sheet1!M54)-log(min(Sheet1!M$2:M$104)))/(log(max(Sheet1!M$2:M$104))-log(min(Sheet1!M$2:M$104)))</f>
        <v>0.8107896599</v>
      </c>
      <c r="N54" s="24">
        <f>(log(Sheet1!N54)-log(min(Sheet1!N$2:N$104)))/(log(max(Sheet1!N$2:N$104))-log(min(Sheet1!N$2:N$104)))</f>
        <v>0.4190580552</v>
      </c>
      <c r="O54" s="24">
        <f>(log(Sheet1!O54)-log(min(Sheet1!O$2:O$104)))/(log(max(Sheet1!O$2:O$104))-log(min(Sheet1!O$2:O$104)))</f>
        <v>0.5396716133</v>
      </c>
      <c r="P54" s="24">
        <f>(log(Sheet1!P54)-log(min(Sheet1!P$2:P$104)))/(log(max(Sheet1!P$2:P$104))-log(min(Sheet1!P$2:P$104)))</f>
        <v>0.8425603268</v>
      </c>
      <c r="Q54" s="24">
        <f>(log(Sheet1!Q54)-log(min(Sheet1!Q$2:Q$104)))/(log(max(Sheet1!Q$2:Q$104))-log(min(Sheet1!Q$2:Q$104)))</f>
        <v>0.5956773666</v>
      </c>
      <c r="R54" s="24">
        <f>(log(Sheet1!R54)-log(min(Sheet1!R$2:R$104)))/(log(max(Sheet1!R$2:R$104))-log(min(Sheet1!R$2:R$104)))</f>
        <v>0.5626529772</v>
      </c>
      <c r="S54" s="24">
        <f>(log(Sheet1!S54)-log(min(Sheet1!S$2:S$104)))/(log(max(Sheet1!S$2:S$104))-log(min(Sheet1!S$2:S$104)))</f>
        <v>0.792331082</v>
      </c>
      <c r="T54" s="24">
        <f>(log(Sheet1!T54)-log(min(Sheet1!T$2:T$104)))/(log(max(Sheet1!T$2:T$104))-log(min(Sheet1!T$2:T$104)))</f>
        <v>1</v>
      </c>
      <c r="U54" s="24">
        <f>(log(Sheet1!U54)-log(min(Sheet1!U$2:U$104)))/(log(max(Sheet1!U$2:U$104))-log(min(Sheet1!U$2:U$104)))</f>
        <v>0.1956792363</v>
      </c>
      <c r="V54" s="24"/>
      <c r="W54" s="24"/>
      <c r="X54" s="24"/>
      <c r="Y54" s="24"/>
      <c r="Z54" s="24"/>
      <c r="AA54" s="24"/>
      <c r="AB54" s="24"/>
    </row>
    <row r="55">
      <c r="A55" s="24" t="s">
        <v>111</v>
      </c>
      <c r="B55" s="25">
        <v>67059.0</v>
      </c>
      <c r="C55" s="24">
        <f>(log(Sheet1!C55)-log(min(Sheet1!$C$2:$C$104)))/(log(max(Sheet1!$C$2:$C$104))-log(min(Sheet1!$C$2:$C$104)))</f>
        <v>0.6292774533</v>
      </c>
      <c r="D55" s="24">
        <v>0.8</v>
      </c>
      <c r="E55" s="24">
        <v>0.602</v>
      </c>
      <c r="F55" s="24">
        <v>0.629032</v>
      </c>
      <c r="G55" s="24">
        <v>0.259</v>
      </c>
      <c r="H55" s="24">
        <f>(log(Sheet1!H55)-log(min(Sheet1!$H$2:$H$104)))/(log(max(Sheet1!$H$2:$H$104))-log(min(Sheet1!$H$2:$H$104)))</f>
        <v>0.3360757297</v>
      </c>
      <c r="I55" s="24">
        <f>(log(Sheet1!I55)-log(min(Sheet1!I$2:I$104)))/(log(max(Sheet1!I$2:I$104))-log(min(Sheet1!I$2:I$104)))</f>
        <v>0.4443433719</v>
      </c>
      <c r="J55" s="24">
        <f>(log(Sheet1!J55)-log(min(Sheet1!J$2:J$104)))/(log(max(Sheet1!J$2:J$104))-log(min(Sheet1!J$2:J$104)))</f>
        <v>0.3973653839</v>
      </c>
      <c r="K55" s="24">
        <f>(log(Sheet1!K55)-log(min(Sheet1!K$2:K$104)))/(log(max(Sheet1!K$2:K$104))-log(min(Sheet1!K$2:K$104)))</f>
        <v>0.5788761516</v>
      </c>
      <c r="L55" s="24">
        <f>(log(Sheet1!L55)-log(min(Sheet1!L$2:L$104)))/(log(max(Sheet1!L$2:L$104))-log(min(Sheet1!L$2:L$104)))</f>
        <v>0.3730876338</v>
      </c>
      <c r="M55" s="24">
        <f>(log(Sheet1!M55)-log(min(Sheet1!M$2:M$104)))/(log(max(Sheet1!M$2:M$104))-log(min(Sheet1!M$2:M$104)))</f>
        <v>0.7146900784</v>
      </c>
      <c r="N55" s="24">
        <f>(log(Sheet1!N55)-log(min(Sheet1!N$2:N$104)))/(log(max(Sheet1!N$2:N$104))-log(min(Sheet1!N$2:N$104)))</f>
        <v>0.7337315994</v>
      </c>
      <c r="O55" s="24">
        <f>(log(Sheet1!O55)-log(min(Sheet1!O$2:O$104)))/(log(max(Sheet1!O$2:O$104))-log(min(Sheet1!O$2:O$104)))</f>
        <v>0.369695588</v>
      </c>
      <c r="P55" s="24">
        <f>(log(Sheet1!P55)-log(min(Sheet1!P$2:P$104)))/(log(max(Sheet1!P$2:P$104))-log(min(Sheet1!P$2:P$104)))</f>
        <v>0.591939737</v>
      </c>
      <c r="Q55" s="24">
        <f>(log(Sheet1!Q55)-log(min(Sheet1!Q$2:Q$104)))/(log(max(Sheet1!Q$2:Q$104))-log(min(Sheet1!Q$2:Q$104)))</f>
        <v>0.4371642196</v>
      </c>
      <c r="R55" s="24">
        <f>(log(Sheet1!R55)-log(min(Sheet1!R$2:R$104)))/(log(max(Sheet1!R$2:R$104))-log(min(Sheet1!R$2:R$104)))</f>
        <v>0.7518240375</v>
      </c>
      <c r="S55" s="24">
        <f>(log(Sheet1!S55)-log(min(Sheet1!S$2:S$104)))/(log(max(Sheet1!S$2:S$104))-log(min(Sheet1!S$2:S$104)))</f>
        <v>0.7969166449</v>
      </c>
      <c r="T55" s="24">
        <f>(log(Sheet1!T55)-log(min(Sheet1!T$2:T$104)))/(log(max(Sheet1!T$2:T$104))-log(min(Sheet1!T$2:T$104)))</f>
        <v>0.2980292884</v>
      </c>
      <c r="U55" s="24">
        <f>(log(Sheet1!U55)-log(min(Sheet1!U$2:U$104)))/(log(max(Sheet1!U$2:U$104))-log(min(Sheet1!U$2:U$104)))</f>
        <v>0.5387774512</v>
      </c>
      <c r="V55" s="24"/>
      <c r="W55" s="24"/>
      <c r="X55" s="24"/>
      <c r="Y55" s="24"/>
      <c r="Z55" s="24"/>
      <c r="AA55" s="24"/>
      <c r="AB55" s="24"/>
    </row>
    <row r="56">
      <c r="A56" s="24" t="s">
        <v>112</v>
      </c>
      <c r="B56" s="25">
        <v>54895.0</v>
      </c>
      <c r="C56" s="24">
        <f>(log(Sheet1!C56)-log(min(Sheet1!$C$2:$C$104)))/(log(max(Sheet1!$C$2:$C$104))-log(min(Sheet1!$C$2:$C$104)))</f>
        <v>0.5056161751</v>
      </c>
      <c r="D56" s="24">
        <v>0.8</v>
      </c>
      <c r="E56" s="24">
        <v>0.601</v>
      </c>
      <c r="F56" s="24">
        <v>0.548387</v>
      </c>
      <c r="G56" s="24">
        <v>0.581</v>
      </c>
      <c r="H56" s="24">
        <f>(log(Sheet1!H56)-log(min(Sheet1!$H$2:$H$104)))/(log(max(Sheet1!$H$2:$H$104))-log(min(Sheet1!$H$2:$H$104)))</f>
        <v>0.5055139611</v>
      </c>
      <c r="I56" s="24">
        <f>(log(Sheet1!I56)-log(min(Sheet1!I$2:I$104)))/(log(max(Sheet1!I$2:I$104))-log(min(Sheet1!I$2:I$104)))</f>
        <v>0.2906128369</v>
      </c>
      <c r="J56" s="24">
        <f>(log(Sheet1!J56)-log(min(Sheet1!J$2:J$104)))/(log(max(Sheet1!J$2:J$104))-log(min(Sheet1!J$2:J$104)))</f>
        <v>0.2181111754</v>
      </c>
      <c r="K56" s="24">
        <f>(log(Sheet1!K56)-log(min(Sheet1!K$2:K$104)))/(log(max(Sheet1!K$2:K$104))-log(min(Sheet1!K$2:K$104)))</f>
        <v>0.3794032458</v>
      </c>
      <c r="L56" s="24">
        <f>(log(Sheet1!L56)-log(min(Sheet1!L$2:L$104)))/(log(max(Sheet1!L$2:L$104))-log(min(Sheet1!L$2:L$104)))</f>
        <v>0.3062529661</v>
      </c>
      <c r="M56" s="24">
        <f>(log(Sheet1!M56)-log(min(Sheet1!M$2:M$104)))/(log(max(Sheet1!M$2:M$104))-log(min(Sheet1!M$2:M$104)))</f>
        <v>0.9027118735</v>
      </c>
      <c r="N56" s="24">
        <f>(log(Sheet1!N56)-log(min(Sheet1!N$2:N$104)))/(log(max(Sheet1!N$2:N$104))-log(min(Sheet1!N$2:N$104)))</f>
        <v>0.5260017028</v>
      </c>
      <c r="O56" s="24">
        <f>(log(Sheet1!O56)-log(min(Sheet1!O$2:O$104)))/(log(max(Sheet1!O$2:O$104))-log(min(Sheet1!O$2:O$104)))</f>
        <v>0.5072772494</v>
      </c>
      <c r="P56" s="24">
        <f>(log(Sheet1!P56)-log(min(Sheet1!P$2:P$104)))/(log(max(Sheet1!P$2:P$104))-log(min(Sheet1!P$2:P$104)))</f>
        <v>0.6291814122</v>
      </c>
      <c r="Q56" s="24">
        <f>(log(Sheet1!Q56)-log(min(Sheet1!Q$2:Q$104)))/(log(max(Sheet1!Q$2:Q$104))-log(min(Sheet1!Q$2:Q$104)))</f>
        <v>0.2708653187</v>
      </c>
      <c r="R56" s="24">
        <f>(log(Sheet1!R56)-log(min(Sheet1!R$2:R$104)))/(log(max(Sheet1!R$2:R$104))-log(min(Sheet1!R$2:R$104)))</f>
        <v>0.7437867782</v>
      </c>
      <c r="S56" s="24">
        <f>(log(Sheet1!S56)-log(min(Sheet1!S$2:S$104)))/(log(max(Sheet1!S$2:S$104))-log(min(Sheet1!S$2:S$104)))</f>
        <v>0.8687086672</v>
      </c>
      <c r="T56" s="24">
        <f>(log(Sheet1!T56)-log(min(Sheet1!T$2:T$104)))/(log(max(Sheet1!T$2:T$104))-log(min(Sheet1!T$2:T$104)))</f>
        <v>0.272248797</v>
      </c>
      <c r="U56" s="24">
        <f>(log(Sheet1!U56)-log(min(Sheet1!U$2:U$104)))/(log(max(Sheet1!U$2:U$104))-log(min(Sheet1!U$2:U$104)))</f>
        <v>0.2824345372</v>
      </c>
      <c r="V56" s="24"/>
      <c r="W56" s="24"/>
      <c r="X56" s="24"/>
      <c r="Y56" s="24"/>
      <c r="Z56" s="24"/>
      <c r="AA56" s="24"/>
      <c r="AB56" s="24"/>
    </row>
    <row r="57">
      <c r="A57" s="24" t="s">
        <v>114</v>
      </c>
      <c r="B57" s="25">
        <v>95675.0</v>
      </c>
      <c r="C57" s="24">
        <f>(log(Sheet1!C57)-log(min(Sheet1!$C$2:$C$104)))/(log(max(Sheet1!$C$2:$C$104))-log(min(Sheet1!$C$2:$C$104)))</f>
        <v>0.6645103103</v>
      </c>
      <c r="D57" s="24">
        <v>0.2</v>
      </c>
      <c r="E57" s="24">
        <v>0.309</v>
      </c>
      <c r="F57" s="24">
        <v>0.870968</v>
      </c>
      <c r="G57" s="24">
        <v>0.393</v>
      </c>
      <c r="H57" s="24">
        <f>(log(Sheet1!H57)-log(min(Sheet1!$H$2:$H$104)))/(log(max(Sheet1!$H$2:$H$104))-log(min(Sheet1!$H$2:$H$104)))</f>
        <v>0.2689124027</v>
      </c>
      <c r="I57" s="24">
        <f>(log(Sheet1!I57)-log(min(Sheet1!I$2:I$104)))/(log(max(Sheet1!I$2:I$104))-log(min(Sheet1!I$2:I$104)))</f>
        <v>0.7217068671</v>
      </c>
      <c r="J57" s="24">
        <f>(log(Sheet1!J57)-log(min(Sheet1!J$2:J$104)))/(log(max(Sheet1!J$2:J$104))-log(min(Sheet1!J$2:J$104)))</f>
        <v>0.525288465</v>
      </c>
      <c r="K57" s="24">
        <f>(log(Sheet1!K57)-log(min(Sheet1!K$2:K$104)))/(log(max(Sheet1!K$2:K$104))-log(min(Sheet1!K$2:K$104)))</f>
        <v>0.7476382196</v>
      </c>
      <c r="L57" s="24">
        <f>(log(Sheet1!L57)-log(min(Sheet1!L$2:L$104)))/(log(max(Sheet1!L$2:L$104))-log(min(Sheet1!L$2:L$104)))</f>
        <v>0.4618372938</v>
      </c>
      <c r="M57" s="24">
        <f>(log(Sheet1!M57)-log(min(Sheet1!M$2:M$104)))/(log(max(Sheet1!M$2:M$104))-log(min(Sheet1!M$2:M$104)))</f>
        <v>0.7723473671</v>
      </c>
      <c r="N57" s="24">
        <f>(log(Sheet1!N57)-log(min(Sheet1!N$2:N$104)))/(log(max(Sheet1!N$2:N$104))-log(min(Sheet1!N$2:N$104)))</f>
        <v>0.9122493364</v>
      </c>
      <c r="O57" s="24">
        <f>(log(Sheet1!O57)-log(min(Sheet1!O$2:O$104)))/(log(max(Sheet1!O$2:O$104))-log(min(Sheet1!O$2:O$104)))</f>
        <v>0.2569079874</v>
      </c>
      <c r="P57" s="24">
        <f>(log(Sheet1!P57)-log(min(Sheet1!P$2:P$104)))/(log(max(Sheet1!P$2:P$104))-log(min(Sheet1!P$2:P$104)))</f>
        <v>0.5230946254</v>
      </c>
      <c r="Q57" s="24">
        <f>(log(Sheet1!Q57)-log(min(Sheet1!Q$2:Q$104)))/(log(max(Sheet1!Q$2:Q$104))-log(min(Sheet1!Q$2:Q$104)))</f>
        <v>0.6874476562</v>
      </c>
      <c r="R57" s="24">
        <f>(log(Sheet1!R57)-log(min(Sheet1!R$2:R$104)))/(log(max(Sheet1!R$2:R$104))-log(min(Sheet1!R$2:R$104)))</f>
        <v>0.5364588354</v>
      </c>
      <c r="S57" s="24">
        <f>(log(Sheet1!S57)-log(min(Sheet1!S$2:S$104)))/(log(max(Sheet1!S$2:S$104))-log(min(Sheet1!S$2:S$104)))</f>
        <v>0.5516401923</v>
      </c>
      <c r="T57" s="24">
        <f>(log(Sheet1!T57)-log(min(Sheet1!T$2:T$104)))/(log(max(Sheet1!T$2:T$104))-log(min(Sheet1!T$2:T$104)))</f>
        <v>0.2346950953</v>
      </c>
      <c r="U57" s="24">
        <f>(log(Sheet1!U57)-log(min(Sheet1!U$2:U$104)))/(log(max(Sheet1!U$2:U$104))-log(min(Sheet1!U$2:U$104)))</f>
        <v>0.4157532947</v>
      </c>
      <c r="V57" s="24"/>
      <c r="W57" s="24"/>
      <c r="X57" s="24"/>
      <c r="Y57" s="24"/>
      <c r="Z57" s="24"/>
      <c r="AA57" s="24"/>
      <c r="AB57" s="24"/>
    </row>
    <row r="58">
      <c r="A58" s="24" t="s">
        <v>115</v>
      </c>
      <c r="B58" s="25">
        <v>38412.0</v>
      </c>
      <c r="C58" s="24">
        <f>(log(Sheet1!C58)-log(min(Sheet1!$C$2:$C$104)))/(log(max(Sheet1!$C$2:$C$104))-log(min(Sheet1!$C$2:$C$104)))</f>
        <v>0.4034146252</v>
      </c>
      <c r="D58" s="24">
        <v>1.0</v>
      </c>
      <c r="E58" s="24">
        <v>0.264</v>
      </c>
      <c r="F58" s="24">
        <v>0.806452</v>
      </c>
      <c r="G58" s="24">
        <v>0.552</v>
      </c>
      <c r="H58" s="24">
        <f>(log(Sheet1!H58)-log(min(Sheet1!$H$2:$H$104)))/(log(max(Sheet1!$H$2:$H$104))-log(min(Sheet1!$H$2:$H$104)))</f>
        <v>0.6723664856</v>
      </c>
      <c r="I58" s="24">
        <f>(log(Sheet1!I58)-log(min(Sheet1!I$2:I$104)))/(log(max(Sheet1!I$2:I$104))-log(min(Sheet1!I$2:I$104)))</f>
        <v>0.7217068671</v>
      </c>
      <c r="J58" s="24">
        <f>(log(Sheet1!J58)-log(min(Sheet1!J$2:J$104)))/(log(max(Sheet1!J$2:J$104))-log(min(Sheet1!J$2:J$104)))</f>
        <v>0.4719218601</v>
      </c>
      <c r="K58" s="24">
        <f>(log(Sheet1!K58)-log(min(Sheet1!K$2:K$104)))/(log(max(Sheet1!K$2:K$104))-log(min(Sheet1!K$2:K$104)))</f>
        <v>0.9673347995</v>
      </c>
      <c r="L58" s="24">
        <f>(log(Sheet1!L58)-log(min(Sheet1!L$2:L$104)))/(log(max(Sheet1!L$2:L$104))-log(min(Sheet1!L$2:L$104)))</f>
        <v>0.3744352259</v>
      </c>
      <c r="M58" s="24">
        <f>(log(Sheet1!M58)-log(min(Sheet1!M$2:M$104)))/(log(max(Sheet1!M$2:M$104))-log(min(Sheet1!M$2:M$104)))</f>
        <v>0.6699554617</v>
      </c>
      <c r="N58" s="24">
        <f>(log(Sheet1!N58)-log(min(Sheet1!N$2:N$104)))/(log(max(Sheet1!N$2:N$104))-log(min(Sheet1!N$2:N$104)))</f>
        <v>0.5260017028</v>
      </c>
      <c r="O58" s="24">
        <f>(log(Sheet1!O58)-log(min(Sheet1!O$2:O$104)))/(log(max(Sheet1!O$2:O$104))-log(min(Sheet1!O$2:O$104)))</f>
        <v>0.2955156838</v>
      </c>
      <c r="P58" s="24">
        <f>(log(Sheet1!P58)-log(min(Sheet1!P$2:P$104)))/(log(max(Sheet1!P$2:P$104))-log(min(Sheet1!P$2:P$104)))</f>
        <v>0.5917436876</v>
      </c>
      <c r="Q58" s="24">
        <f>(log(Sheet1!Q58)-log(min(Sheet1!Q$2:Q$104)))/(log(max(Sheet1!Q$2:Q$104))-log(min(Sheet1!Q$2:Q$104)))</f>
        <v>0.2259798062</v>
      </c>
      <c r="R58" s="24">
        <f>(log(Sheet1!R58)-log(min(Sheet1!R$2:R$104)))/(log(max(Sheet1!R$2:R$104))-log(min(Sheet1!R$2:R$104)))</f>
        <v>0.8745102701</v>
      </c>
      <c r="S58" s="24">
        <f>(log(Sheet1!S58)-log(min(Sheet1!S$2:S$104)))/(log(max(Sheet1!S$2:S$104))-log(min(Sheet1!S$2:S$104)))</f>
        <v>0.4148935503</v>
      </c>
      <c r="T58" s="24">
        <f>(log(Sheet1!T58)-log(min(Sheet1!T$2:T$104)))/(log(max(Sheet1!T$2:T$104))-log(min(Sheet1!T$2:T$104)))</f>
        <v>0.2980292884</v>
      </c>
      <c r="U58" s="24">
        <f>(log(Sheet1!U58)-log(min(Sheet1!U$2:U$104)))/(log(max(Sheet1!U$2:U$104))-log(min(Sheet1!U$2:U$104)))</f>
        <v>0.5937177761</v>
      </c>
      <c r="V58" s="24"/>
      <c r="W58" s="24"/>
      <c r="X58" s="24"/>
      <c r="Y58" s="24"/>
      <c r="Z58" s="24"/>
      <c r="AA58" s="24"/>
      <c r="AB58" s="24"/>
    </row>
    <row r="59">
      <c r="A59" s="24" t="s">
        <v>116</v>
      </c>
      <c r="B59" s="25">
        <v>22071.0</v>
      </c>
      <c r="C59" s="24">
        <f>(log(Sheet1!C59)-log(min(Sheet1!$C$2:$C$104)))/(log(max(Sheet1!$C$2:$C$104))-log(min(Sheet1!$C$2:$C$104)))</f>
        <v>0.3273644991</v>
      </c>
      <c r="D59" s="24">
        <v>0.4</v>
      </c>
      <c r="E59" s="24">
        <v>0.174</v>
      </c>
      <c r="F59" s="24">
        <v>0.693548</v>
      </c>
      <c r="G59" s="24">
        <v>0.258</v>
      </c>
      <c r="H59" s="24">
        <f>(log(Sheet1!H59)-log(min(Sheet1!$H$2:$H$104)))/(log(max(Sheet1!$H$2:$H$104))-log(min(Sheet1!$H$2:$H$104)))</f>
        <v>0.9374025927</v>
      </c>
      <c r="I59" s="24">
        <f>(log(Sheet1!I59)-log(min(Sheet1!I$2:I$104)))/(log(max(Sheet1!I$2:I$104))-log(min(Sheet1!I$2:I$104)))</f>
        <v>0.7710053425</v>
      </c>
      <c r="J59" s="24">
        <f>(log(Sheet1!J59)-log(min(Sheet1!J$2:J$104)))/(log(max(Sheet1!J$2:J$104))-log(min(Sheet1!J$2:J$104)))</f>
        <v>0.6136595149</v>
      </c>
      <c r="K59" s="24">
        <f>(log(Sheet1!K59)-log(min(Sheet1!K$2:K$104)))/(log(max(Sheet1!K$2:K$104))-log(min(Sheet1!K$2:K$104)))</f>
        <v>0.9567814478</v>
      </c>
      <c r="L59" s="24">
        <f>(log(Sheet1!L59)-log(min(Sheet1!L$2:L$104)))/(log(max(Sheet1!L$2:L$104))-log(min(Sheet1!L$2:L$104)))</f>
        <v>0.286774052</v>
      </c>
      <c r="M59" s="24">
        <f>(log(Sheet1!M59)-log(min(Sheet1!M$2:M$104)))/(log(max(Sheet1!M$2:M$104))-log(min(Sheet1!M$2:M$104)))</f>
        <v>0.7548834134</v>
      </c>
      <c r="N59" s="24">
        <f>(log(Sheet1!N59)-log(min(Sheet1!N$2:N$104)))/(log(max(Sheet1!N$2:N$104))-log(min(Sheet1!N$2:N$104)))</f>
        <v>0.4411782675</v>
      </c>
      <c r="O59" s="24">
        <f>(log(Sheet1!O59)-log(min(Sheet1!O$2:O$104)))/(log(max(Sheet1!O$2:O$104))-log(min(Sheet1!O$2:O$104)))</f>
        <v>0.4741205957</v>
      </c>
      <c r="P59" s="24">
        <f>(log(Sheet1!P59)-log(min(Sheet1!P$2:P$104)))/(log(max(Sheet1!P$2:P$104))-log(min(Sheet1!P$2:P$104)))</f>
        <v>0.7453729692</v>
      </c>
      <c r="Q59" s="24">
        <f>(log(Sheet1!Q59)-log(min(Sheet1!Q$2:Q$104)))/(log(max(Sheet1!Q$2:Q$104))-log(min(Sheet1!Q$2:Q$104)))</f>
        <v>0.6350594075</v>
      </c>
      <c r="R59" s="24">
        <f>(log(Sheet1!R59)-log(min(Sheet1!R$2:R$104)))/(log(max(Sheet1!R$2:R$104))-log(min(Sheet1!R$2:R$104)))</f>
        <v>0.4624602896</v>
      </c>
      <c r="S59" s="24">
        <f>(log(Sheet1!S59)-log(min(Sheet1!S$2:S$104)))/(log(max(Sheet1!S$2:S$104))-log(min(Sheet1!S$2:S$104)))</f>
        <v>0.4598169473</v>
      </c>
      <c r="T59" s="24">
        <f>(log(Sheet1!T59)-log(min(Sheet1!T$2:T$104)))/(log(max(Sheet1!T$2:T$104))-log(min(Sheet1!T$2:T$104)))</f>
        <v>0.188733079</v>
      </c>
      <c r="U59" s="24">
        <f>(log(Sheet1!U59)-log(min(Sheet1!U$2:U$104)))/(log(max(Sheet1!U$2:U$104))-log(min(Sheet1!U$2:U$104)))</f>
        <v>0.4366556732</v>
      </c>
      <c r="V59" s="24"/>
      <c r="W59" s="24"/>
      <c r="X59" s="24"/>
      <c r="Y59" s="24"/>
      <c r="Z59" s="24"/>
      <c r="AA59" s="24"/>
      <c r="AB59" s="24"/>
    </row>
    <row r="60">
      <c r="A60" s="24" t="s">
        <v>117</v>
      </c>
      <c r="B60" s="25">
        <v>21447.0</v>
      </c>
      <c r="C60" s="24">
        <f>(log(Sheet1!C60)-log(min(Sheet1!$C$2:$C$104)))/(log(max(Sheet1!$C$2:$C$104))-log(min(Sheet1!$C$2:$C$104)))</f>
        <v>0.3155093161</v>
      </c>
      <c r="D60" s="24">
        <v>1.0</v>
      </c>
      <c r="E60" s="24">
        <v>0.562</v>
      </c>
      <c r="F60" s="24">
        <v>0.564516</v>
      </c>
      <c r="G60" s="24">
        <v>0.162</v>
      </c>
      <c r="H60" s="24">
        <f>(log(Sheet1!H60)-log(min(Sheet1!$H$2:$H$104)))/(log(max(Sheet1!$H$2:$H$104))-log(min(Sheet1!$H$2:$H$104)))</f>
        <v>0.6510482465</v>
      </c>
      <c r="I60" s="24">
        <f>(log(Sheet1!I60)-log(min(Sheet1!I$2:I$104)))/(log(max(Sheet1!I$2:I$104))-log(min(Sheet1!I$2:I$104)))</f>
        <v>0.3384246038</v>
      </c>
      <c r="J60" s="24">
        <f>(log(Sheet1!J60)-log(min(Sheet1!J$2:J$104)))/(log(max(Sheet1!J$2:J$104))-log(min(Sheet1!J$2:J$104)))</f>
        <v>0.1921330126</v>
      </c>
      <c r="K60" s="24">
        <f>(log(Sheet1!K60)-log(min(Sheet1!K$2:K$104)))/(log(max(Sheet1!K$2:K$104))-log(min(Sheet1!K$2:K$104)))</f>
        <v>0.2826418074</v>
      </c>
      <c r="L60" s="24">
        <f>(log(Sheet1!L60)-log(min(Sheet1!L$2:L$104)))/(log(max(Sheet1!L$2:L$104))-log(min(Sheet1!L$2:L$104)))</f>
        <v>0.08056935702</v>
      </c>
      <c r="M60" s="24">
        <f>(log(Sheet1!M60)-log(min(Sheet1!M$2:M$104)))/(log(max(Sheet1!M$2:M$104))-log(min(Sheet1!M$2:M$104)))</f>
        <v>0.909570761</v>
      </c>
      <c r="N60" s="24">
        <f>(log(Sheet1!N60)-log(min(Sheet1!N$2:N$104)))/(log(max(Sheet1!N$2:N$104))-log(min(Sheet1!N$2:N$104)))</f>
        <v>0.5053202691</v>
      </c>
      <c r="O60" s="24">
        <f>(log(Sheet1!O60)-log(min(Sheet1!O$2:O$104)))/(log(max(Sheet1!O$2:O$104))-log(min(Sheet1!O$2:O$104)))</f>
        <v>0.5072772494</v>
      </c>
      <c r="P60" s="24">
        <f>(log(Sheet1!P60)-log(min(Sheet1!P$2:P$104)))/(log(max(Sheet1!P$2:P$104))-log(min(Sheet1!P$2:P$104)))</f>
        <v>0.6999129696</v>
      </c>
      <c r="Q60" s="24">
        <f>(log(Sheet1!Q60)-log(min(Sheet1!Q$2:Q$104)))/(log(max(Sheet1!Q$2:Q$104))-log(min(Sheet1!Q$2:Q$104)))</f>
        <v>0.4315556308</v>
      </c>
      <c r="R60" s="24">
        <f>(log(Sheet1!R60)-log(min(Sheet1!R$2:R$104)))/(log(max(Sheet1!R$2:R$104))-log(min(Sheet1!R$2:R$104)))</f>
        <v>0.4286183352</v>
      </c>
      <c r="S60" s="24">
        <f>(log(Sheet1!S60)-log(min(Sheet1!S$2:S$104)))/(log(max(Sheet1!S$2:S$104))-log(min(Sheet1!S$2:S$104)))</f>
        <v>0.7969166449</v>
      </c>
      <c r="T60" s="24">
        <f>(log(Sheet1!T60)-log(min(Sheet1!T$2:T$104)))/(log(max(Sheet1!T$2:T$104))-log(min(Sheet1!T$2:T$104)))</f>
        <v>0.2505471538</v>
      </c>
      <c r="U60" s="24">
        <f>(log(Sheet1!U60)-log(min(Sheet1!U$2:U$104)))/(log(max(Sheet1!U$2:U$104))-log(min(Sheet1!U$2:U$104)))</f>
        <v>0.3374837485</v>
      </c>
      <c r="V60" s="24"/>
      <c r="W60" s="24"/>
      <c r="X60" s="24"/>
      <c r="Y60" s="24"/>
      <c r="Z60" s="24"/>
      <c r="AA60" s="24"/>
      <c r="AB60" s="24"/>
    </row>
    <row r="61">
      <c r="A61" s="24" t="s">
        <v>118</v>
      </c>
      <c r="B61" s="25">
        <v>44893.0</v>
      </c>
      <c r="C61" s="24">
        <f>(log(Sheet1!C61)-log(min(Sheet1!$C$2:$C$104)))/(log(max(Sheet1!$C$2:$C$104))-log(min(Sheet1!$C$2:$C$104)))</f>
        <v>0.4557173736</v>
      </c>
      <c r="D61" s="24">
        <v>0.8</v>
      </c>
      <c r="E61" s="24">
        <v>0.274</v>
      </c>
      <c r="F61" s="24">
        <v>0.903226</v>
      </c>
      <c r="G61" s="24">
        <v>0.121</v>
      </c>
      <c r="H61" s="24">
        <f>(log(Sheet1!H61)-log(min(Sheet1!$H$2:$H$104)))/(log(max(Sheet1!$H$2:$H$104))-log(min(Sheet1!$H$2:$H$104)))</f>
        <v>0.06455722522</v>
      </c>
      <c r="I61" s="24">
        <f>(log(Sheet1!I61)-log(min(Sheet1!I$2:I$104)))/(log(max(Sheet1!I$2:I$104))-log(min(Sheet1!I$2:I$104)))</f>
        <v>0.5022231879</v>
      </c>
      <c r="J61" s="24">
        <f>(log(Sheet1!J61)-log(min(Sheet1!J$2:J$104)))/(log(max(Sheet1!J$2:J$104))-log(min(Sheet1!J$2:J$104)))</f>
        <v>0.2799614433</v>
      </c>
      <c r="K61" s="24">
        <f>(log(Sheet1!K61)-log(min(Sheet1!K$2:K$104)))/(log(max(Sheet1!K$2:K$104))-log(min(Sheet1!K$2:K$104)))</f>
        <v>0.9722242647</v>
      </c>
      <c r="L61" s="24">
        <f>(log(Sheet1!L61)-log(min(Sheet1!L$2:L$104)))/(log(max(Sheet1!L$2:L$104))-log(min(Sheet1!L$2:L$104)))</f>
        <v>0.4038940362</v>
      </c>
      <c r="M61" s="24">
        <f>(log(Sheet1!M61)-log(min(Sheet1!M$2:M$104)))/(log(max(Sheet1!M$2:M$104))-log(min(Sheet1!M$2:M$104)))</f>
        <v>0.6375341372</v>
      </c>
      <c r="N61" s="24">
        <f>(log(Sheet1!N61)-log(min(Sheet1!N$2:N$104)))/(log(max(Sheet1!N$2:N$104))-log(min(Sheet1!N$2:N$104)))</f>
        <v>0.5260017028</v>
      </c>
      <c r="O61" s="24">
        <f>(log(Sheet1!O61)-log(min(Sheet1!O$2:O$104)))/(log(max(Sheet1!O$2:O$104))-log(min(Sheet1!O$2:O$104)))</f>
        <v>0.5396716133</v>
      </c>
      <c r="P61" s="24">
        <f>(log(Sheet1!P61)-log(min(Sheet1!P$2:P$104)))/(log(max(Sheet1!P$2:P$104))-log(min(Sheet1!P$2:P$104)))</f>
        <v>0.719412939</v>
      </c>
      <c r="Q61" s="24">
        <f>(log(Sheet1!Q61)-log(min(Sheet1!Q$2:Q$104)))/(log(max(Sheet1!Q$2:Q$104))-log(min(Sheet1!Q$2:Q$104)))</f>
        <v>0.3683175235</v>
      </c>
      <c r="R61" s="24">
        <f>(log(Sheet1!R61)-log(min(Sheet1!R$2:R$104)))/(log(max(Sheet1!R$2:R$104))-log(min(Sheet1!R$2:R$104)))</f>
        <v>0.8109638469</v>
      </c>
      <c r="S61" s="24">
        <f>(log(Sheet1!S61)-log(min(Sheet1!S$2:S$104)))/(log(max(Sheet1!S$2:S$104))-log(min(Sheet1!S$2:S$104)))</f>
        <v>0.5516401923</v>
      </c>
      <c r="T61" s="24">
        <f>(log(Sheet1!T61)-log(min(Sheet1!T$2:T$104)))/(log(max(Sheet1!T$2:T$104))-log(min(Sheet1!T$2:T$104)))</f>
        <v>0.3154460052</v>
      </c>
      <c r="U61" s="24">
        <f>(log(Sheet1!U61)-log(min(Sheet1!U$2:U$104)))/(log(max(Sheet1!U$2:U$104))-log(min(Sheet1!U$2:U$104)))</f>
        <v>0.4630045595</v>
      </c>
      <c r="V61" s="24"/>
      <c r="W61" s="24"/>
      <c r="X61" s="24"/>
      <c r="Y61" s="24"/>
      <c r="Z61" s="24"/>
      <c r="AA61" s="24"/>
      <c r="AB61" s="24"/>
    </row>
    <row r="62">
      <c r="A62" s="27" t="s">
        <v>119</v>
      </c>
      <c r="B62" s="28">
        <v>600000.0</v>
      </c>
      <c r="C62" s="24">
        <f>(log(Sheet1!C62)-log(min(Sheet1!$C$2:$C$104)))/(log(max(Sheet1!$C$2:$C$104))-log(min(Sheet1!$C$2:$C$104)))</f>
        <v>1</v>
      </c>
      <c r="D62" s="24">
        <v>0.0</v>
      </c>
      <c r="E62" s="24">
        <v>0.687</v>
      </c>
      <c r="F62" s="24">
        <v>0.225806</v>
      </c>
      <c r="G62" s="24">
        <v>0.142</v>
      </c>
      <c r="H62" s="24">
        <f>(log(Sheet1!H62)-log(min(Sheet1!$H$2:$H$104)))/(log(max(Sheet1!$H$2:$H$104))-log(min(Sheet1!$H$2:$H$104)))</f>
        <v>0.5996187704</v>
      </c>
      <c r="I62" s="24">
        <f>(log(Sheet1!I62)-log(min(Sheet1!I$2:I$104)))/(log(max(Sheet1!I$2:I$104))-log(min(Sheet1!I$2:I$104)))</f>
        <v>0.7655518957</v>
      </c>
      <c r="J62" s="24">
        <f>(log(Sheet1!J62)-log(min(Sheet1!J$2:J$104)))/(log(max(Sheet1!J$2:J$104))-log(min(Sheet1!J$2:J$104)))</f>
        <v>0.8622530813</v>
      </c>
      <c r="K62" s="24">
        <f>(log(Sheet1!K62)-log(min(Sheet1!K$2:K$104)))/(log(max(Sheet1!K$2:K$104))-log(min(Sheet1!K$2:K$104)))</f>
        <v>0.6625103498</v>
      </c>
      <c r="L62" s="24">
        <f>(log(Sheet1!L62)-log(min(Sheet1!L$2:L$104)))/(log(max(Sheet1!L$2:L$104))-log(min(Sheet1!L$2:L$104)))</f>
        <v>0.5598546376</v>
      </c>
      <c r="M62" s="24">
        <f>(log(Sheet1!M62)-log(min(Sheet1!M$2:M$104)))/(log(max(Sheet1!M$2:M$104))-log(min(Sheet1!M$2:M$104)))</f>
        <v>0.5362772107</v>
      </c>
      <c r="N62" s="24">
        <f>(log(Sheet1!N62)-log(min(Sheet1!N$2:N$104)))/(log(max(Sheet1!N$2:N$104))-log(min(Sheet1!N$2:N$104)))</f>
        <v>0.9122493364</v>
      </c>
      <c r="O62" s="24">
        <f>(log(Sheet1!O62)-log(min(Sheet1!O$2:O$104)))/(log(max(Sheet1!O$2:O$104))-log(min(Sheet1!O$2:O$104)))</f>
        <v>0.44016491</v>
      </c>
      <c r="P62" s="24">
        <f>(log(Sheet1!P62)-log(min(Sheet1!P$2:P$104)))/(log(max(Sheet1!P$2:P$104))-log(min(Sheet1!P$2:P$104)))</f>
        <v>0.1398646349</v>
      </c>
      <c r="Q62" s="24">
        <f>(log(Sheet1!Q62)-log(min(Sheet1!Q$2:Q$104)))/(log(max(Sheet1!Q$2:Q$104))-log(min(Sheet1!Q$2:Q$104)))</f>
        <v>0.5133940915</v>
      </c>
      <c r="R62" s="24">
        <f>(log(Sheet1!R62)-log(min(Sheet1!R$2:R$104)))/(log(max(Sheet1!R$2:R$104))-log(min(Sheet1!R$2:R$104)))</f>
        <v>0.9445683157</v>
      </c>
      <c r="S62" s="24">
        <f>(log(Sheet1!S62)-log(min(Sheet1!S$2:S$104)))/(log(max(Sheet1!S$2:S$104))-log(min(Sheet1!S$2:S$104)))</f>
        <v>0.5881024538</v>
      </c>
      <c r="T62" s="24">
        <f>(log(Sheet1!T62)-log(min(Sheet1!T$2:T$104)))/(log(max(Sheet1!T$2:T$104))-log(min(Sheet1!T$2:T$104)))</f>
        <v>0.2855421256</v>
      </c>
      <c r="U62" s="24">
        <f>(log(Sheet1!U62)-log(min(Sheet1!U$2:U$104)))/(log(max(Sheet1!U$2:U$104))-log(min(Sheet1!U$2:U$104)))</f>
        <v>0.4298027594</v>
      </c>
      <c r="V62" s="24"/>
      <c r="W62" s="24"/>
      <c r="X62" s="24"/>
      <c r="Y62" s="24"/>
      <c r="Z62" s="24"/>
      <c r="AA62" s="24"/>
      <c r="AB62" s="24"/>
    </row>
    <row r="63">
      <c r="A63" s="27" t="s">
        <v>122</v>
      </c>
      <c r="B63" s="28">
        <v>560000.0</v>
      </c>
      <c r="C63" s="24">
        <f>(log(Sheet1!C63)-log(min(Sheet1!$C$2:$C$104)))/(log(max(Sheet1!$C$2:$C$104))-log(min(Sheet1!$C$2:$C$104)))</f>
        <v>1</v>
      </c>
      <c r="D63" s="24">
        <v>0.0</v>
      </c>
      <c r="E63" s="24">
        <v>0.687</v>
      </c>
      <c r="F63" s="24">
        <v>0.225806</v>
      </c>
      <c r="G63" s="24">
        <v>0.142</v>
      </c>
      <c r="H63" s="24">
        <f>(log(Sheet1!H63)-log(min(Sheet1!$H$2:$H$104)))/(log(max(Sheet1!$H$2:$H$104))-log(min(Sheet1!$H$2:$H$104)))</f>
        <v>0.5996187704</v>
      </c>
      <c r="I63" s="24">
        <f>(log(Sheet1!I63)-log(min(Sheet1!I$2:I$104)))/(log(max(Sheet1!I$2:I$104))-log(min(Sheet1!I$2:I$104)))</f>
        <v>0.7655518957</v>
      </c>
      <c r="J63" s="24">
        <f>(log(Sheet1!J63)-log(min(Sheet1!J$2:J$104)))/(log(max(Sheet1!J$2:J$104))-log(min(Sheet1!J$2:J$104)))</f>
        <v>0.8622530813</v>
      </c>
      <c r="K63" s="24">
        <f>(log(Sheet1!K63)-log(min(Sheet1!K$2:K$104)))/(log(max(Sheet1!K$2:K$104))-log(min(Sheet1!K$2:K$104)))</f>
        <v>0.6625103498</v>
      </c>
      <c r="L63" s="24">
        <f>(log(Sheet1!L63)-log(min(Sheet1!L$2:L$104)))/(log(max(Sheet1!L$2:L$104))-log(min(Sheet1!L$2:L$104)))</f>
        <v>0.5598546376</v>
      </c>
      <c r="M63" s="24">
        <f>(log(Sheet1!M63)-log(min(Sheet1!M$2:M$104)))/(log(max(Sheet1!M$2:M$104))-log(min(Sheet1!M$2:M$104)))</f>
        <v>0.5362772107</v>
      </c>
      <c r="N63" s="24">
        <f>(log(Sheet1!N63)-log(min(Sheet1!N$2:N$104)))/(log(max(Sheet1!N$2:N$104))-log(min(Sheet1!N$2:N$104)))</f>
        <v>0.9122493364</v>
      </c>
      <c r="O63" s="24">
        <f>(log(Sheet1!O63)-log(min(Sheet1!O$2:O$104)))/(log(max(Sheet1!O$2:O$104))-log(min(Sheet1!O$2:O$104)))</f>
        <v>0.44016491</v>
      </c>
      <c r="P63" s="24">
        <f>(log(Sheet1!P63)-log(min(Sheet1!P$2:P$104)))/(log(max(Sheet1!P$2:P$104))-log(min(Sheet1!P$2:P$104)))</f>
        <v>0.1398646349</v>
      </c>
      <c r="Q63" s="24">
        <f>(log(Sheet1!Q63)-log(min(Sheet1!Q$2:Q$104)))/(log(max(Sheet1!Q$2:Q$104))-log(min(Sheet1!Q$2:Q$104)))</f>
        <v>0.5133940915</v>
      </c>
      <c r="R63" s="24">
        <f>(log(Sheet1!R63)-log(min(Sheet1!R$2:R$104)))/(log(max(Sheet1!R$2:R$104))-log(min(Sheet1!R$2:R$104)))</f>
        <v>0.9445683157</v>
      </c>
      <c r="S63" s="24">
        <f>(log(Sheet1!S63)-log(min(Sheet1!S$2:S$104)))/(log(max(Sheet1!S$2:S$104))-log(min(Sheet1!S$2:S$104)))</f>
        <v>0.5881024538</v>
      </c>
      <c r="T63" s="24">
        <f>(log(Sheet1!T63)-log(min(Sheet1!T$2:T$104)))/(log(max(Sheet1!T$2:T$104))-log(min(Sheet1!T$2:T$104)))</f>
        <v>0.2855421256</v>
      </c>
      <c r="U63" s="24">
        <f>(log(Sheet1!U63)-log(min(Sheet1!U$2:U$104)))/(log(max(Sheet1!U$2:U$104))-log(min(Sheet1!U$2:U$104)))</f>
        <v>0.4298027594</v>
      </c>
      <c r="V63" s="24"/>
      <c r="W63" s="24"/>
      <c r="X63" s="24"/>
      <c r="Y63" s="24"/>
      <c r="Z63" s="24"/>
      <c r="AA63" s="24"/>
      <c r="AB63" s="24"/>
    </row>
    <row r="64">
      <c r="A64" s="24" t="s">
        <v>123</v>
      </c>
      <c r="B64" s="25">
        <v>14999.0</v>
      </c>
      <c r="C64" s="24">
        <f>(log(Sheet1!C64)-log(min(Sheet1!$C$2:$C$104)))/(log(max(Sheet1!$C$2:$C$104))-log(min(Sheet1!$C$2:$C$104)))</f>
        <v>0.3806688553</v>
      </c>
      <c r="D64" s="24">
        <v>1.0</v>
      </c>
      <c r="E64" s="24">
        <v>0.174</v>
      </c>
      <c r="F64" s="24">
        <v>0.967742</v>
      </c>
      <c r="G64" s="24">
        <v>0.928</v>
      </c>
      <c r="H64" s="24">
        <f>(log(Sheet1!H64)-log(min(Sheet1!$H$2:$H$104)))/(log(max(Sheet1!$H$2:$H$104))-log(min(Sheet1!$H$2:$H$104)))</f>
        <v>0.6676497514</v>
      </c>
      <c r="I64" s="24">
        <f>(log(Sheet1!I64)-log(min(Sheet1!I$2:I$104)))/(log(max(Sheet1!I$2:I$104))-log(min(Sheet1!I$2:I$104)))</f>
        <v>0.705164428</v>
      </c>
      <c r="J64" s="24">
        <f>(log(Sheet1!J64)-log(min(Sheet1!J$2:J$104)))/(log(max(Sheet1!J$2:J$104))-log(min(Sheet1!J$2:J$104)))</f>
        <v>0.4358548067</v>
      </c>
      <c r="K64" s="24">
        <f>(log(Sheet1!K64)-log(min(Sheet1!K$2:K$104)))/(log(max(Sheet1!K$2:K$104))-log(min(Sheet1!K$2:K$104)))</f>
        <v>0.9896440643</v>
      </c>
      <c r="L64" s="24">
        <f>(log(Sheet1!L64)-log(min(Sheet1!L$2:L$104)))/(log(max(Sheet1!L$2:L$104))-log(min(Sheet1!L$2:L$104)))</f>
        <v>0.171551815</v>
      </c>
      <c r="M64" s="24">
        <f>(log(Sheet1!M64)-log(min(Sheet1!M$2:M$104)))/(log(max(Sheet1!M$2:M$104))-log(min(Sheet1!M$2:M$104)))</f>
        <v>0.6111810932</v>
      </c>
      <c r="N64" s="24">
        <f>(log(Sheet1!N64)-log(min(Sheet1!N$2:N$104)))/(log(max(Sheet1!N$2:N$104))-log(min(Sheet1!N$2:N$104)))</f>
        <v>0.3022898559</v>
      </c>
      <c r="O64" s="24">
        <f>(log(Sheet1!O64)-log(min(Sheet1!O$2:O$104)))/(log(max(Sheet1!O$2:O$104))-log(min(Sheet1!O$2:O$104)))</f>
        <v>0.4741205957</v>
      </c>
      <c r="P64" s="24">
        <f>(log(Sheet1!P64)-log(min(Sheet1!P$2:P$104)))/(log(max(Sheet1!P$2:P$104))-log(min(Sheet1!P$2:P$104)))</f>
        <v>0.6906592826</v>
      </c>
      <c r="Q64" s="24">
        <f>(log(Sheet1!Q64)-log(min(Sheet1!Q$2:Q$104)))/(log(max(Sheet1!Q$2:Q$104))-log(min(Sheet1!Q$2:Q$104)))</f>
        <v>0.425924289</v>
      </c>
      <c r="R64" s="24">
        <f>(log(Sheet1!R64)-log(min(Sheet1!R$2:R$104)))/(log(max(Sheet1!R$2:R$104))-log(min(Sheet1!R$2:R$104)))</f>
        <v>0.5226992692</v>
      </c>
      <c r="S64" s="24">
        <f>(log(Sheet1!S64)-log(min(Sheet1!S$2:S$104)))/(log(max(Sheet1!S$2:S$104))-log(min(Sheet1!S$2:S$104)))</f>
        <v>0.5881024538</v>
      </c>
      <c r="T64" s="24">
        <f>(log(Sheet1!T64)-log(min(Sheet1!T$2:T$104)))/(log(max(Sheet1!T$2:T$104))-log(min(Sheet1!T$2:T$104)))</f>
        <v>0.1987826382</v>
      </c>
      <c r="U64" s="24">
        <f>(log(Sheet1!U64)-log(min(Sheet1!U$2:U$104)))/(log(max(Sheet1!U$2:U$104))-log(min(Sheet1!U$2:U$104)))</f>
        <v>0.4228365692</v>
      </c>
      <c r="V64" s="24"/>
      <c r="W64" s="24"/>
      <c r="X64" s="24"/>
      <c r="Y64" s="24"/>
      <c r="Z64" s="24"/>
      <c r="AA64" s="24"/>
      <c r="AB64" s="24"/>
    </row>
    <row r="65">
      <c r="A65" s="24" t="s">
        <v>125</v>
      </c>
      <c r="B65" s="25">
        <v>26085.0</v>
      </c>
      <c r="C65" s="24">
        <f>(log(Sheet1!C65)-log(min(Sheet1!$C$2:$C$104)))/(log(max(Sheet1!$C$2:$C$104))-log(min(Sheet1!$C$2:$C$104)))</f>
        <v>0.3421255099</v>
      </c>
      <c r="D65" s="24">
        <v>1.0</v>
      </c>
      <c r="E65" s="24">
        <v>0.539</v>
      </c>
      <c r="F65" s="24">
        <v>0.790323</v>
      </c>
      <c r="G65" s="24">
        <v>0.123</v>
      </c>
      <c r="H65" s="24">
        <f>(log(Sheet1!H65)-log(min(Sheet1!$H$2:$H$104)))/(log(max(Sheet1!$H$2:$H$104))-log(min(Sheet1!$H$2:$H$104)))</f>
        <v>0.586425707</v>
      </c>
      <c r="I65" s="24">
        <f>(log(Sheet1!I65)-log(min(Sheet1!I$2:I$104)))/(log(max(Sheet1!I$2:I$104))-log(min(Sheet1!I$2:I$104)))</f>
        <v>0.3798847278</v>
      </c>
      <c r="J65" s="24">
        <f>(log(Sheet1!J65)-log(min(Sheet1!J$2:J$104)))/(log(max(Sheet1!J$2:J$104))-log(min(Sheet1!J$2:J$104)))</f>
        <v>0.3328211399</v>
      </c>
      <c r="K65" s="24">
        <f>(log(Sheet1!K65)-log(min(Sheet1!K$2:K$104)))/(log(max(Sheet1!K$2:K$104))-log(min(Sheet1!K$2:K$104)))</f>
        <v>0.6739583714</v>
      </c>
      <c r="L65" s="24">
        <f>(log(Sheet1!L65)-log(min(Sheet1!L$2:L$104)))/(log(max(Sheet1!L$2:L$104))-log(min(Sheet1!L$2:L$104)))</f>
        <v>0.4726028563</v>
      </c>
      <c r="M65" s="24">
        <f>(log(Sheet1!M65)-log(min(Sheet1!M$2:M$104)))/(log(max(Sheet1!M$2:M$104))-log(min(Sheet1!M$2:M$104)))</f>
        <v>0.727719035</v>
      </c>
      <c r="N65" s="24">
        <f>(log(Sheet1!N65)-log(min(Sheet1!N$2:N$104)))/(log(max(Sheet1!N$2:N$104))-log(min(Sheet1!N$2:N$104)))</f>
        <v>0.7849551722</v>
      </c>
      <c r="O65" s="24">
        <f>(log(Sheet1!O65)-log(min(Sheet1!O$2:O$104)))/(log(max(Sheet1!O$2:O$104))-log(min(Sheet1!O$2:O$104)))</f>
        <v>0.5396716133</v>
      </c>
      <c r="P65" s="24">
        <f>(log(Sheet1!P65)-log(min(Sheet1!P$2:P$104)))/(log(max(Sheet1!P$2:P$104))-log(min(Sheet1!P$2:P$104)))</f>
        <v>0.7780303428</v>
      </c>
      <c r="Q65" s="24">
        <f>(log(Sheet1!Q65)-log(min(Sheet1!Q$2:Q$104)))/(log(max(Sheet1!Q$2:Q$104))-log(min(Sheet1!Q$2:Q$104)))</f>
        <v>0.3624231459</v>
      </c>
      <c r="R65" s="24">
        <f>(log(Sheet1!R65)-log(min(Sheet1!R$2:R$104)))/(log(max(Sheet1!R$2:R$104))-log(min(Sheet1!R$2:R$104)))</f>
        <v>0.5626529772</v>
      </c>
      <c r="S65" s="24">
        <f>(log(Sheet1!S65)-log(min(Sheet1!S$2:S$104)))/(log(max(Sheet1!S$2:S$104))-log(min(Sheet1!S$2:S$104)))</f>
        <v>0.7505153367</v>
      </c>
      <c r="T65" s="24">
        <f>(log(Sheet1!T65)-log(min(Sheet1!T$2:T$104)))/(log(max(Sheet1!T$2:T$104))-log(min(Sheet1!T$2:T$104)))</f>
        <v>0.2262867807</v>
      </c>
      <c r="U65" s="24">
        <f>(log(Sheet1!U65)-log(min(Sheet1!U$2:U$104)))/(log(max(Sheet1!U$2:U$104))-log(min(Sheet1!U$2:U$104)))</f>
        <v>0.3108573218</v>
      </c>
      <c r="V65" s="24"/>
      <c r="W65" s="24"/>
      <c r="X65" s="24"/>
      <c r="Y65" s="24"/>
      <c r="Z65" s="24"/>
      <c r="AA65" s="24"/>
      <c r="AB65" s="24"/>
    </row>
    <row r="66">
      <c r="A66" s="24" t="s">
        <v>127</v>
      </c>
      <c r="B66" s="25">
        <v>106898.0</v>
      </c>
      <c r="C66" s="24">
        <f>(log(Sheet1!C66)-log(min(Sheet1!$C$2:$C$104)))/(log(max(Sheet1!$C$2:$C$104))-log(min(Sheet1!$C$2:$C$104)))</f>
        <v>0.5364488226</v>
      </c>
      <c r="D66" s="24">
        <v>0.6</v>
      </c>
      <c r="E66" s="24">
        <v>0.41</v>
      </c>
      <c r="F66" s="24">
        <v>0.725806</v>
      </c>
      <c r="G66" s="24">
        <v>0.208</v>
      </c>
      <c r="H66" s="24">
        <f>(log(Sheet1!H66)-log(min(Sheet1!$H$2:$H$104)))/(log(max(Sheet1!$H$2:$H$104))-log(min(Sheet1!$H$2:$H$104)))</f>
        <v>0.5476871763</v>
      </c>
      <c r="I66" s="24">
        <f>(log(Sheet1!I66)-log(min(Sheet1!I$2:I$104)))/(log(max(Sheet1!I$2:I$104))-log(min(Sheet1!I$2:I$104)))</f>
        <v>0.8681546493</v>
      </c>
      <c r="J66" s="24">
        <f>(log(Sheet1!J66)-log(min(Sheet1!J$2:J$104)))/(log(max(Sheet1!J$2:J$104))-log(min(Sheet1!J$2:J$104)))</f>
        <v>0.7633665317</v>
      </c>
      <c r="K66" s="24">
        <f>(log(Sheet1!K66)-log(min(Sheet1!K$2:K$104)))/(log(max(Sheet1!K$2:K$104))-log(min(Sheet1!K$2:K$104)))</f>
        <v>0.6293385466</v>
      </c>
      <c r="L66" s="24">
        <f>(log(Sheet1!L66)-log(min(Sheet1!L$2:L$104)))/(log(max(Sheet1!L$2:L$104))-log(min(Sheet1!L$2:L$104)))</f>
        <v>0.4477219555</v>
      </c>
      <c r="M66" s="24">
        <f>(log(Sheet1!M66)-log(min(Sheet1!M$2:M$104)))/(log(max(Sheet1!M$2:M$104))-log(min(Sheet1!M$2:M$104)))</f>
        <v>0.8709758234</v>
      </c>
      <c r="N66" s="24">
        <f>(log(Sheet1!N66)-log(min(Sheet1!N$2:N$104)))/(log(max(Sheet1!N$2:N$104))-log(min(Sheet1!N$2:N$104)))</f>
        <v>0.7681088313</v>
      </c>
      <c r="O66" s="24">
        <f>(log(Sheet1!O66)-log(min(Sheet1!O$2:O$104)))/(log(max(Sheet1!O$2:O$104))-log(min(Sheet1!O$2:O$104)))</f>
        <v>0.369695588</v>
      </c>
      <c r="P66" s="24">
        <f>(log(Sheet1!P66)-log(min(Sheet1!P$2:P$104)))/(log(max(Sheet1!P$2:P$104))-log(min(Sheet1!P$2:P$104)))</f>
        <v>0.4287087047</v>
      </c>
      <c r="Q66" s="24">
        <f>(log(Sheet1!Q66)-log(min(Sheet1!Q$2:Q$104)))/(log(max(Sheet1!Q$2:Q$104))-log(min(Sheet1!Q$2:Q$104)))</f>
        <v>0.414592603</v>
      </c>
      <c r="R66" s="24">
        <f>(log(Sheet1!R66)-log(min(Sheet1!R$2:R$104)))/(log(max(Sheet1!R$2:R$104))-log(min(Sheet1!R$2:R$104)))</f>
        <v>0.7897833024</v>
      </c>
      <c r="S66" s="24">
        <f>(log(Sheet1!S66)-log(min(Sheet1!S$2:S$104)))/(log(max(Sheet1!S$2:S$104))-log(min(Sheet1!S$2:S$104)))</f>
        <v>0.4763724488</v>
      </c>
      <c r="T66" s="24">
        <f>(log(Sheet1!T66)-log(min(Sheet1!T$2:T$104)))/(log(max(Sheet1!T$2:T$104))-log(min(Sheet1!T$2:T$104)))</f>
        <v>0.2505471538</v>
      </c>
      <c r="U66" s="24">
        <f>(log(Sheet1!U66)-log(min(Sheet1!U$2:U$104)))/(log(max(Sheet1!U$2:U$104))-log(min(Sheet1!U$2:U$104)))</f>
        <v>0.3625274467</v>
      </c>
      <c r="V66" s="24"/>
      <c r="W66" s="24"/>
      <c r="X66" s="24"/>
      <c r="Y66" s="24"/>
      <c r="Z66" s="24"/>
      <c r="AA66" s="24"/>
      <c r="AB66" s="24"/>
    </row>
    <row r="67">
      <c r="A67" s="24" t="s">
        <v>129</v>
      </c>
      <c r="B67" s="25">
        <v>96551.0</v>
      </c>
      <c r="C67" s="24">
        <f>(log(Sheet1!C67)-log(min(Sheet1!$C$2:$C$104)))/(log(max(Sheet1!$C$2:$C$104))-log(min(Sheet1!$C$2:$C$104)))</f>
        <v>0.558880325</v>
      </c>
      <c r="D67" s="24">
        <v>0.6</v>
      </c>
      <c r="E67" s="24">
        <v>0.606</v>
      </c>
      <c r="F67" s="24">
        <v>0.516129</v>
      </c>
      <c r="G67" s="24">
        <v>0.599</v>
      </c>
      <c r="H67" s="24">
        <f>(log(Sheet1!H67)-log(min(Sheet1!$H$2:$H$104)))/(log(max(Sheet1!$H$2:$H$104))-log(min(Sheet1!$H$2:$H$104)))</f>
        <v>0.6523576746</v>
      </c>
      <c r="I67" s="24">
        <f>(log(Sheet1!I67)-log(min(Sheet1!I$2:I$104)))/(log(max(Sheet1!I$2:I$104))-log(min(Sheet1!I$2:I$104)))</f>
        <v>0.5194560954</v>
      </c>
      <c r="J67" s="24">
        <f>(log(Sheet1!J67)-log(min(Sheet1!J$2:J$104)))/(log(max(Sheet1!J$2:J$104))-log(min(Sheet1!J$2:J$104)))</f>
        <v>0.4000133197</v>
      </c>
      <c r="K67" s="24">
        <f>(log(Sheet1!K67)-log(min(Sheet1!K$2:K$104)))/(log(max(Sheet1!K$2:K$104))-log(min(Sheet1!K$2:K$104)))</f>
        <v>0.5110074604</v>
      </c>
      <c r="L67" s="24">
        <f>(log(Sheet1!L67)-log(min(Sheet1!L$2:L$104)))/(log(max(Sheet1!L$2:L$104))-log(min(Sheet1!L$2:L$104)))</f>
        <v>0.3125216026</v>
      </c>
      <c r="M67" s="24">
        <f>(log(Sheet1!M67)-log(min(Sheet1!M$2:M$104)))/(log(max(Sheet1!M$2:M$104))-log(min(Sheet1!M$2:M$104)))</f>
        <v>0.8998487729</v>
      </c>
      <c r="N67" s="24">
        <f>(log(Sheet1!N67)-log(min(Sheet1!N$2:N$104)))/(log(max(Sheet1!N$2:N$104))-log(min(Sheet1!N$2:N$104)))</f>
        <v>0.6620574181</v>
      </c>
      <c r="O67" s="24">
        <f>(log(Sheet1!O67)-log(min(Sheet1!O$2:O$104)))/(log(max(Sheet1!O$2:O$104))-log(min(Sheet1!O$2:O$104)))</f>
        <v>0.8019069899</v>
      </c>
      <c r="P67" s="24">
        <f>(log(Sheet1!P67)-log(min(Sheet1!P$2:P$104)))/(log(max(Sheet1!P$2:P$104))-log(min(Sheet1!P$2:P$104)))</f>
        <v>0.4133975927</v>
      </c>
      <c r="Q67" s="24">
        <f>(log(Sheet1!Q67)-log(min(Sheet1!Q$2:Q$104)))/(log(max(Sheet1!Q$2:Q$104))-log(min(Sheet1!Q$2:Q$104)))</f>
        <v>0.2834276111</v>
      </c>
      <c r="R67" s="24">
        <f>(log(Sheet1!R67)-log(min(Sheet1!R$2:R$104)))/(log(max(Sheet1!R$2:R$104))-log(min(Sheet1!R$2:R$104)))</f>
        <v>0.6825725438</v>
      </c>
      <c r="S67" s="24">
        <f>(log(Sheet1!S67)-log(min(Sheet1!S$2:S$104)))/(log(max(Sheet1!S$2:S$104))-log(min(Sheet1!S$2:S$104)))</f>
        <v>0.950330576</v>
      </c>
      <c r="T67" s="24">
        <f>(log(Sheet1!T67)-log(min(Sheet1!T$2:T$104)))/(log(max(Sheet1!T$2:T$104))-log(min(Sheet1!T$2:T$104)))</f>
        <v>0.272248797</v>
      </c>
      <c r="U67" s="24">
        <f>(log(Sheet1!U67)-log(min(Sheet1!U$2:U$104)))/(log(max(Sheet1!U$2:U$104))-log(min(Sheet1!U$2:U$104)))</f>
        <v>0.3705552116</v>
      </c>
      <c r="V67" s="24"/>
      <c r="W67" s="24"/>
      <c r="X67" s="24"/>
      <c r="Y67" s="24"/>
      <c r="Z67" s="24"/>
      <c r="AA67" s="24"/>
      <c r="AB67" s="24"/>
    </row>
    <row r="68">
      <c r="A68" s="24" t="s">
        <v>131</v>
      </c>
      <c r="B68" s="25">
        <v>238852.0</v>
      </c>
      <c r="C68" s="24">
        <f>(log(Sheet1!C68)-log(min(Sheet1!$C$2:$C$104)))/(log(max(Sheet1!$C$2:$C$104))-log(min(Sheet1!$C$2:$C$104)))</f>
        <v>0.8983923851</v>
      </c>
      <c r="D68" s="24">
        <v>0.4</v>
      </c>
      <c r="E68" s="24">
        <v>0.43</v>
      </c>
      <c r="F68" s="24">
        <v>0.483871</v>
      </c>
      <c r="G68" s="24">
        <v>0.336</v>
      </c>
      <c r="H68" s="24">
        <f>(log(Sheet1!H68)-log(min(Sheet1!$H$2:$H$104)))/(log(max(Sheet1!$H$2:$H$104))-log(min(Sheet1!$H$2:$H$104)))</f>
        <v>0.4674037502</v>
      </c>
      <c r="I68" s="24">
        <f>(log(Sheet1!I68)-log(min(Sheet1!I$2:I$104)))/(log(max(Sheet1!I$2:I$104))-log(min(Sheet1!I$2:I$104)))</f>
        <v>0.9160241608</v>
      </c>
      <c r="J68" s="24">
        <f>(log(Sheet1!J68)-log(min(Sheet1!J$2:J$104)))/(log(max(Sheet1!J$2:J$104))-log(min(Sheet1!J$2:J$104)))</f>
        <v>0.8155795043</v>
      </c>
      <c r="K68" s="24">
        <f>(log(Sheet1!K68)-log(min(Sheet1!K$2:K$104)))/(log(max(Sheet1!K$2:K$104))-log(min(Sheet1!K$2:K$104)))</f>
        <v>0.2484450176</v>
      </c>
      <c r="L68" s="24">
        <f>(log(Sheet1!L68)-log(min(Sheet1!L$2:L$104)))/(log(max(Sheet1!L$2:L$104))-log(min(Sheet1!L$2:L$104)))</f>
        <v>0.7615826983</v>
      </c>
      <c r="M68" s="24">
        <f>(log(Sheet1!M68)-log(min(Sheet1!M$2:M$104)))/(log(max(Sheet1!M$2:M$104))-log(min(Sheet1!M$2:M$104)))</f>
        <v>0.3575923684</v>
      </c>
      <c r="N68" s="24">
        <f>(log(Sheet1!N68)-log(min(Sheet1!N$2:N$104)))/(log(max(Sheet1!N$2:N$104))-log(min(Sheet1!N$2:N$104)))</f>
        <v>0</v>
      </c>
      <c r="O68" s="24">
        <f>(log(Sheet1!O68)-log(min(Sheet1!O$2:O$104)))/(log(max(Sheet1!O$2:O$104))-log(min(Sheet1!O$2:O$104)))</f>
        <v>0.2955156838</v>
      </c>
      <c r="P68" s="24">
        <f>(log(Sheet1!P68)-log(min(Sheet1!P$2:P$104)))/(log(max(Sheet1!P$2:P$104))-log(min(Sheet1!P$2:P$104)))</f>
        <v>0.1813344176</v>
      </c>
      <c r="Q68" s="24">
        <f>(log(Sheet1!Q68)-log(min(Sheet1!Q$2:Q$104)))/(log(max(Sheet1!Q$2:Q$104))-log(min(Sheet1!Q$2:Q$104)))</f>
        <v>0.1523752779</v>
      </c>
      <c r="R68" s="24">
        <f>(log(Sheet1!R68)-log(min(Sheet1!R$2:R$104)))/(log(max(Sheet1!R$2:R$104))-log(min(Sheet1!R$2:R$104)))</f>
        <v>0.8685850798</v>
      </c>
      <c r="S68" s="24">
        <f>(log(Sheet1!S68)-log(min(Sheet1!S$2:S$104)))/(log(max(Sheet1!S$2:S$104))-log(min(Sheet1!S$2:S$104)))</f>
        <v>0.4486929486</v>
      </c>
      <c r="T68" s="24">
        <f>(log(Sheet1!T68)-log(min(Sheet1!T$2:T$104)))/(log(max(Sheet1!T$2:T$104))-log(min(Sheet1!T$2:T$104)))</f>
        <v>0.2855421256</v>
      </c>
      <c r="U68" s="24">
        <f>(log(Sheet1!U68)-log(min(Sheet1!U$2:U$104)))/(log(max(Sheet1!U$2:U$104))-log(min(Sheet1!U$2:U$104)))</f>
        <v>0.5168792836</v>
      </c>
      <c r="V68" s="24"/>
      <c r="W68" s="24"/>
      <c r="X68" s="24"/>
      <c r="Y68" s="24"/>
      <c r="Z68" s="24"/>
      <c r="AA68" s="24"/>
      <c r="AB68" s="24"/>
    </row>
    <row r="69">
      <c r="A69" s="24" t="s">
        <v>133</v>
      </c>
      <c r="B69" s="25">
        <v>16715.0</v>
      </c>
      <c r="C69" s="24">
        <f>(log(Sheet1!C69)-log(min(Sheet1!$C$2:$C$104)))/(log(max(Sheet1!$C$2:$C$104))-log(min(Sheet1!$C$2:$C$104)))</f>
        <v>0.244059314</v>
      </c>
      <c r="D69" s="24">
        <v>0.8</v>
      </c>
      <c r="E69" s="24">
        <v>0.541</v>
      </c>
      <c r="F69" s="24">
        <v>0.33871</v>
      </c>
      <c r="G69" s="24">
        <v>0.22</v>
      </c>
      <c r="H69" s="24">
        <f>(log(Sheet1!H69)-log(min(Sheet1!$H$2:$H$104)))/(log(max(Sheet1!$H$2:$H$104))-log(min(Sheet1!$H$2:$H$104)))</f>
        <v>0.1390831191</v>
      </c>
      <c r="I69" s="24">
        <f>(log(Sheet1!I69)-log(min(Sheet1!I$2:I$104)))/(log(max(Sheet1!I$2:I$104))-log(min(Sheet1!I$2:I$104)))</f>
        <v>0.4092881132</v>
      </c>
      <c r="J69" s="24">
        <f>(log(Sheet1!J69)-log(min(Sheet1!J$2:J$104)))/(log(max(Sheet1!J$2:J$104))-log(min(Sheet1!J$2:J$104)))</f>
        <v>0.3238401144</v>
      </c>
      <c r="K69" s="24">
        <f>(log(Sheet1!K69)-log(min(Sheet1!K$2:K$104)))/(log(max(Sheet1!K$2:K$104))-log(min(Sheet1!K$2:K$104)))</f>
        <v>0.5155936319</v>
      </c>
      <c r="L69" s="24">
        <f>(log(Sheet1!L69)-log(min(Sheet1!L$2:L$104)))/(log(max(Sheet1!L$2:L$104))-log(min(Sheet1!L$2:L$104)))</f>
        <v>0.5096553088</v>
      </c>
      <c r="M69" s="24">
        <f>(log(Sheet1!M69)-log(min(Sheet1!M$2:M$104)))/(log(max(Sheet1!M$2:M$104))-log(min(Sheet1!M$2:M$104)))</f>
        <v>0.9320176427</v>
      </c>
      <c r="N69" s="24">
        <f>(log(Sheet1!N69)-log(min(Sheet1!N$2:N$104)))/(log(max(Sheet1!N$2:N$104))-log(min(Sheet1!N$2:N$104)))</f>
        <v>0.5463522194</v>
      </c>
      <c r="O69" s="24">
        <f>(log(Sheet1!O69)-log(min(Sheet1!O$2:O$104)))/(log(max(Sheet1!O$2:O$104))-log(min(Sheet1!O$2:O$104)))</f>
        <v>0.8794913238</v>
      </c>
      <c r="P69" s="24">
        <f>(log(Sheet1!P69)-log(min(Sheet1!P$2:P$104)))/(log(max(Sheet1!P$2:P$104))-log(min(Sheet1!P$2:P$104)))</f>
        <v>0.9405387727</v>
      </c>
      <c r="Q69" s="24">
        <f>(log(Sheet1!Q69)-log(min(Sheet1!Q$2:Q$104)))/(log(max(Sheet1!Q$2:Q$104))-log(min(Sheet1!Q$2:Q$104)))</f>
        <v>0.5080857721</v>
      </c>
      <c r="R69" s="24">
        <f>(log(Sheet1!R69)-log(min(Sheet1!R$2:R$104)))/(log(max(Sheet1!R$2:R$104))-log(min(Sheet1!R$2:R$104)))</f>
        <v>0.4105767726</v>
      </c>
      <c r="S69" s="24">
        <f>(log(Sheet1!S69)-log(min(Sheet1!S$2:S$104)))/(log(max(Sheet1!S$2:S$104))-log(min(Sheet1!S$2:S$104)))</f>
        <v>0.8774805657</v>
      </c>
      <c r="T69" s="24">
        <f>(log(Sheet1!T69)-log(min(Sheet1!T$2:T$104)))/(log(max(Sheet1!T$2:T$104))-log(min(Sheet1!T$2:T$104)))</f>
        <v>0.08351571792</v>
      </c>
      <c r="U69" s="24">
        <f>(log(Sheet1!U69)-log(min(Sheet1!U$2:U$104)))/(log(max(Sheet1!U$2:U$104))-log(min(Sheet1!U$2:U$104)))</f>
        <v>0</v>
      </c>
      <c r="V69" s="24"/>
      <c r="W69" s="24"/>
      <c r="X69" s="24"/>
      <c r="Y69" s="24"/>
      <c r="Z69" s="24"/>
      <c r="AA69" s="24"/>
      <c r="AB69" s="24"/>
    </row>
    <row r="70">
      <c r="A70" s="24" t="s">
        <v>134</v>
      </c>
      <c r="B70" s="25">
        <v>213676.0</v>
      </c>
      <c r="C70" s="24">
        <f>(log(Sheet1!C70)-log(min(Sheet1!$C$2:$C$104)))/(log(max(Sheet1!$C$2:$C$104))-log(min(Sheet1!$C$2:$C$104)))</f>
        <v>0.636817539</v>
      </c>
      <c r="D70" s="24">
        <v>0.6</v>
      </c>
      <c r="E70" s="24">
        <v>0.559</v>
      </c>
      <c r="F70" s="24">
        <v>0.758065</v>
      </c>
      <c r="G70" s="24">
        <v>0.403</v>
      </c>
      <c r="H70" s="24">
        <f>(log(Sheet1!H70)-log(min(Sheet1!$H$2:$H$104)))/(log(max(Sheet1!$H$2:$H$104))-log(min(Sheet1!$H$2:$H$104)))</f>
        <v>0.4736514419</v>
      </c>
      <c r="I70" s="24">
        <f>(log(Sheet1!I70)-log(min(Sheet1!I$2:I$104)))/(log(max(Sheet1!I$2:I$104))-log(min(Sheet1!I$2:I$104)))</f>
        <v>0.8948059018</v>
      </c>
      <c r="J70" s="24">
        <f>(log(Sheet1!J70)-log(min(Sheet1!J$2:J$104)))/(log(max(Sheet1!J$2:J$104))-log(min(Sheet1!J$2:J$104)))</f>
        <v>0.5058534828</v>
      </c>
      <c r="K70" s="24">
        <f>(log(Sheet1!K70)-log(min(Sheet1!K$2:K$104)))/(log(max(Sheet1!K$2:K$104))-log(min(Sheet1!K$2:K$104)))</f>
        <v>0.3155681183</v>
      </c>
      <c r="L70" s="24">
        <f>(log(Sheet1!L70)-log(min(Sheet1!L$2:L$104)))/(log(max(Sheet1!L$2:L$104))-log(min(Sheet1!L$2:L$104)))</f>
        <v>0.7667232288</v>
      </c>
      <c r="M70" s="24">
        <f>(log(Sheet1!M70)-log(min(Sheet1!M$2:M$104)))/(log(max(Sheet1!M$2:M$104))-log(min(Sheet1!M$2:M$104)))</f>
        <v>0.7823342565</v>
      </c>
      <c r="N70" s="24">
        <f>(log(Sheet1!N70)-log(min(Sheet1!N$2:N$104)))/(log(max(Sheet1!N$2:N$104))-log(min(Sheet1!N$2:N$104)))</f>
        <v>0.4190580552</v>
      </c>
      <c r="O70" s="24">
        <f>(log(Sheet1!O70)-log(min(Sheet1!O$2:O$104)))/(log(max(Sheet1!O$2:O$104))-log(min(Sheet1!O$2:O$104)))</f>
        <v>0.4741205957</v>
      </c>
      <c r="P70" s="24">
        <f>(log(Sheet1!P70)-log(min(Sheet1!P$2:P$104)))/(log(max(Sheet1!P$2:P$104))-log(min(Sheet1!P$2:P$104)))</f>
        <v>0.4549156346</v>
      </c>
      <c r="Q70" s="24">
        <f>(log(Sheet1!Q70)-log(min(Sheet1!Q$2:Q$104)))/(log(max(Sheet1!Q$2:Q$104))-log(min(Sheet1!Q$2:Q$104)))</f>
        <v>0.2194474467</v>
      </c>
      <c r="R70" s="24">
        <f>(log(Sheet1!R70)-log(min(Sheet1!R$2:R$104)))/(log(max(Sheet1!R$2:R$104))-log(min(Sheet1!R$2:R$104)))</f>
        <v>1</v>
      </c>
      <c r="S70" s="24">
        <f>(log(Sheet1!S70)-log(min(Sheet1!S$2:S$104)))/(log(max(Sheet1!S$2:S$104))-log(min(Sheet1!S$2:S$104)))</f>
        <v>0.3154525551</v>
      </c>
      <c r="T70" s="24">
        <f>(log(Sheet1!T70)-log(min(Sheet1!T$2:T$104)))/(log(max(Sheet1!T$2:T$104))-log(min(Sheet1!T$2:T$104)))</f>
        <v>0.3970976823</v>
      </c>
      <c r="U70" s="24">
        <f>(log(Sheet1!U70)-log(min(Sheet1!U$2:U$104)))/(log(max(Sheet1!U$2:U$104))-log(min(Sheet1!U$2:U$104)))</f>
        <v>0.7219261121</v>
      </c>
      <c r="V70" s="24"/>
      <c r="W70" s="24"/>
      <c r="X70" s="24"/>
      <c r="Y70" s="24"/>
      <c r="Z70" s="24"/>
      <c r="AA70" s="24"/>
      <c r="AB70" s="24"/>
    </row>
    <row r="71">
      <c r="A71" s="24" t="s">
        <v>135</v>
      </c>
      <c r="B71" s="25">
        <v>150626.0</v>
      </c>
      <c r="C71" s="24">
        <f>(log(Sheet1!C71)-log(min(Sheet1!$C$2:$C$104)))/(log(max(Sheet1!$C$2:$C$104))-log(min(Sheet1!$C$2:$C$104)))</f>
        <v>0.6893155617</v>
      </c>
      <c r="D71" s="24">
        <v>0.4</v>
      </c>
      <c r="E71" s="24">
        <v>0.547</v>
      </c>
      <c r="F71" s="24">
        <v>0.080645</v>
      </c>
      <c r="G71" s="24">
        <v>0.988</v>
      </c>
      <c r="H71" s="24">
        <f>(log(Sheet1!H71)-log(min(Sheet1!$H$2:$H$104)))/(log(max(Sheet1!$H$2:$H$104))-log(min(Sheet1!$H$2:$H$104)))</f>
        <v>0.7932457335</v>
      </c>
      <c r="I71" s="24">
        <f>(log(Sheet1!I71)-log(min(Sheet1!I$2:I$104)))/(log(max(Sheet1!I$2:I$104))-log(min(Sheet1!I$2:I$104)))</f>
        <v>0.8948059018</v>
      </c>
      <c r="J71" s="24">
        <f>(log(Sheet1!J71)-log(min(Sheet1!J$2:J$104)))/(log(max(Sheet1!J$2:J$104))-log(min(Sheet1!J$2:J$104)))</f>
        <v>1</v>
      </c>
      <c r="K71" s="24">
        <f>(log(Sheet1!K71)-log(min(Sheet1!K$2:K$104)))/(log(max(Sheet1!K$2:K$104))-log(min(Sheet1!K$2:K$104)))</f>
        <v>0.6567708805</v>
      </c>
      <c r="L71" s="24">
        <f>(log(Sheet1!L71)-log(min(Sheet1!L$2:L$104)))/(log(max(Sheet1!L$2:L$104))-log(min(Sheet1!L$2:L$104)))</f>
        <v>0.3551709834</v>
      </c>
      <c r="M71" s="24">
        <f>(log(Sheet1!M71)-log(min(Sheet1!M$2:M$104)))/(log(max(Sheet1!M$2:M$104))-log(min(Sheet1!M$2:M$104)))</f>
        <v>0.7824208102</v>
      </c>
      <c r="N71" s="24">
        <f>(log(Sheet1!N71)-log(min(Sheet1!N$2:N$104)))/(log(max(Sheet1!N$2:N$104))-log(min(Sheet1!N$2:N$104)))</f>
        <v>0.7510363582</v>
      </c>
      <c r="O71" s="24">
        <f>(log(Sheet1!O71)-log(min(Sheet1!O$2:O$104)))/(log(max(Sheet1!O$2:O$104))-log(min(Sheet1!O$2:O$104)))</f>
        <v>0.369695588</v>
      </c>
      <c r="P71" s="24">
        <f>(log(Sheet1!P71)-log(min(Sheet1!P$2:P$104)))/(log(max(Sheet1!P$2:P$104))-log(min(Sheet1!P$2:P$104)))</f>
        <v>0.5914495328</v>
      </c>
      <c r="Q71" s="24">
        <f>(log(Sheet1!Q71)-log(min(Sheet1!Q$2:Q$104)))/(log(max(Sheet1!Q$2:Q$104))-log(min(Sheet1!Q$2:Q$104)))</f>
        <v>0.3265213904</v>
      </c>
      <c r="R71" s="24">
        <f>(log(Sheet1!R71)-log(min(Sheet1!R$2:R$104)))/(log(max(Sheet1!R$2:R$104))-log(min(Sheet1!R$2:R$104)))</f>
        <v>0.7824701617</v>
      </c>
      <c r="S71" s="24">
        <f>(log(Sheet1!S71)-log(min(Sheet1!S$2:S$104)))/(log(max(Sheet1!S$2:S$104))-log(min(Sheet1!S$2:S$104)))</f>
        <v>0</v>
      </c>
      <c r="T71" s="24">
        <f>(log(Sheet1!T71)-log(min(Sheet1!T$2:T$104)))/(log(max(Sheet1!T$2:T$104))-log(min(Sheet1!T$2:T$104)))</f>
        <v>0.1987826382</v>
      </c>
      <c r="U71" s="24">
        <f>(log(Sheet1!U71)-log(min(Sheet1!U$2:U$104)))/(log(max(Sheet1!U$2:U$104))-log(min(Sheet1!U$2:U$104)))</f>
        <v>0.3625274467</v>
      </c>
      <c r="V71" s="24"/>
      <c r="W71" s="24"/>
      <c r="X71" s="24"/>
      <c r="Y71" s="24"/>
      <c r="Z71" s="24"/>
      <c r="AA71" s="24"/>
      <c r="AB71" s="24"/>
    </row>
    <row r="72">
      <c r="A72" s="24" t="s">
        <v>137</v>
      </c>
      <c r="B72" s="25">
        <v>12423.0</v>
      </c>
      <c r="C72" s="24">
        <f>(log(Sheet1!C72)-log(min(Sheet1!$C$2:$C$104)))/(log(max(Sheet1!$C$2:$C$104))-log(min(Sheet1!$C$2:$C$104)))</f>
        <v>0.2850146211</v>
      </c>
      <c r="D72" s="24">
        <v>0.8</v>
      </c>
      <c r="E72" s="24">
        <v>0.419</v>
      </c>
      <c r="F72" s="24">
        <v>0.741935</v>
      </c>
      <c r="G72" s="24">
        <v>0.372</v>
      </c>
      <c r="H72" s="24">
        <f>(log(Sheet1!H72)-log(min(Sheet1!$H$2:$H$104)))/(log(max(Sheet1!$H$2:$H$104))-log(min(Sheet1!$H$2:$H$104)))</f>
        <v>0.6208260437</v>
      </c>
      <c r="I72" s="24">
        <f>(log(Sheet1!I72)-log(min(Sheet1!I$2:I$104)))/(log(max(Sheet1!I$2:I$104))-log(min(Sheet1!I$2:I$104)))</f>
        <v>0.7217068671</v>
      </c>
      <c r="J72" s="24">
        <f>(log(Sheet1!J72)-log(min(Sheet1!J$2:J$104)))/(log(max(Sheet1!J$2:J$104))-log(min(Sheet1!J$2:J$104)))</f>
        <v>0.490268292</v>
      </c>
      <c r="K72" s="24">
        <f>(log(Sheet1!K72)-log(min(Sheet1!K$2:K$104)))/(log(max(Sheet1!K$2:K$104))-log(min(Sheet1!K$2:K$104)))</f>
        <v>0.1805763264</v>
      </c>
      <c r="L72" s="24">
        <f>(log(Sheet1!L72)-log(min(Sheet1!L$2:L$104)))/(log(max(Sheet1!L$2:L$104))-log(min(Sheet1!L$2:L$104)))</f>
        <v>0.8192707904</v>
      </c>
      <c r="M72" s="24">
        <f>(log(Sheet1!M72)-log(min(Sheet1!M$2:M$104)))/(log(max(Sheet1!M$2:M$104))-log(min(Sheet1!M$2:M$104)))</f>
        <v>0.7862258352</v>
      </c>
      <c r="N72" s="24">
        <f>(log(Sheet1!N72)-log(min(Sheet1!N$2:N$104)))/(log(max(Sheet1!N$2:N$104))-log(min(Sheet1!N$2:N$104)))</f>
        <v>0.3965463145</v>
      </c>
      <c r="O72" s="24">
        <f>(log(Sheet1!O72)-log(min(Sheet1!O$2:O$104)))/(log(max(Sheet1!O$2:O$104))-log(min(Sheet1!O$2:O$104)))</f>
        <v>0.4741205957</v>
      </c>
      <c r="P72" s="24">
        <f>(log(Sheet1!P72)-log(min(Sheet1!P$2:P$104)))/(log(max(Sheet1!P$2:P$104))-log(min(Sheet1!P$2:P$104)))</f>
        <v>0.7854788881</v>
      </c>
      <c r="Q72" s="24">
        <f>(log(Sheet1!Q72)-log(min(Sheet1!Q$2:Q$104)))/(log(max(Sheet1!Q$2:Q$104))-log(min(Sheet1!Q$2:Q$104)))</f>
        <v>0.6638796226</v>
      </c>
      <c r="R72" s="24">
        <f>(log(Sheet1!R72)-log(min(Sheet1!R$2:R$104)))/(log(max(Sheet1!R$2:R$104))-log(min(Sheet1!R$2:R$104)))</f>
        <v>0.2271303253</v>
      </c>
      <c r="S72" s="24">
        <f>(log(Sheet1!S72)-log(min(Sheet1!S$2:S$104)))/(log(max(Sheet1!S$2:S$104))-log(min(Sheet1!S$2:S$104)))</f>
        <v>0.6883082784</v>
      </c>
      <c r="T72" s="24">
        <f>(log(Sheet1!T72)-log(min(Sheet1!T$2:T$104)))/(log(max(Sheet1!T$2:T$104))-log(min(Sheet1!T$2:T$104)))</f>
        <v>0.3774661581</v>
      </c>
      <c r="U72" s="24">
        <f>(log(Sheet1!U72)-log(min(Sheet1!U$2:U$104)))/(log(max(Sheet1!U$2:U$104))-log(min(Sheet1!U$2:U$104)))</f>
        <v>0.3543437932</v>
      </c>
      <c r="V72" s="24"/>
      <c r="W72" s="24"/>
      <c r="X72" s="24"/>
      <c r="Y72" s="24"/>
      <c r="Z72" s="24"/>
      <c r="AA72" s="24"/>
      <c r="AB72" s="24"/>
    </row>
    <row r="73">
      <c r="A73" s="24" t="s">
        <v>138</v>
      </c>
      <c r="B73" s="25">
        <v>41444.0</v>
      </c>
      <c r="C73" s="24">
        <f>(log(Sheet1!C73)-log(min(Sheet1!$C$2:$C$104)))/(log(max(Sheet1!$C$2:$C$104))-log(min(Sheet1!$C$2:$C$104)))</f>
        <v>0.5576375741</v>
      </c>
      <c r="D73" s="24">
        <v>0.8</v>
      </c>
      <c r="E73" s="24">
        <v>0.588</v>
      </c>
      <c r="F73" s="24">
        <v>0.516129</v>
      </c>
      <c r="G73" s="24">
        <v>0.211</v>
      </c>
      <c r="H73" s="24">
        <f>(log(Sheet1!H73)-log(min(Sheet1!$H$2:$H$104)))/(log(max(Sheet1!$H$2:$H$104))-log(min(Sheet1!$H$2:$H$104)))</f>
        <v>0.4553998151</v>
      </c>
      <c r="I73" s="24">
        <f>(log(Sheet1!I73)-log(min(Sheet1!I$2:I$104)))/(log(max(Sheet1!I$2:I$104))-log(min(Sheet1!I$2:I$104)))</f>
        <v>0.7217068671</v>
      </c>
      <c r="J73" s="24">
        <f>(log(Sheet1!J73)-log(min(Sheet1!J$2:J$104)))/(log(max(Sheet1!J$2:J$104))-log(min(Sheet1!J$2:J$104)))</f>
        <v>0.5231612749</v>
      </c>
      <c r="K73" s="24">
        <f>(log(Sheet1!K73)-log(min(Sheet1!K$2:K$104)))/(log(max(Sheet1!K$2:K$104))-log(min(Sheet1!K$2:K$104)))</f>
        <v>0.02720319656</v>
      </c>
      <c r="L73" s="24">
        <f>(log(Sheet1!L73)-log(min(Sheet1!L$2:L$104)))/(log(max(Sheet1!L$2:L$104))-log(min(Sheet1!L$2:L$104)))</f>
        <v>0.6751269928</v>
      </c>
      <c r="M73" s="24">
        <f>(log(Sheet1!M73)-log(min(Sheet1!M$2:M$104)))/(log(max(Sheet1!M$2:M$104))-log(min(Sheet1!M$2:M$104)))</f>
        <v>0.8578542246</v>
      </c>
      <c r="N73" s="24">
        <f>(log(Sheet1!N73)-log(min(Sheet1!N$2:N$104)))/(log(max(Sheet1!N$2:N$104))-log(min(Sheet1!N$2:N$104)))</f>
        <v>0.4842969781</v>
      </c>
      <c r="O73" s="24">
        <f>(log(Sheet1!O73)-log(min(Sheet1!O$2:O$104)))/(log(max(Sheet1!O$2:O$104))-log(min(Sheet1!O$2:O$104)))</f>
        <v>0.44016491</v>
      </c>
      <c r="P73" s="24">
        <f>(log(Sheet1!P73)-log(min(Sheet1!P$2:P$104)))/(log(max(Sheet1!P$2:P$104))-log(min(Sheet1!P$2:P$104)))</f>
        <v>0.5191687495</v>
      </c>
      <c r="Q73" s="24">
        <f>(log(Sheet1!Q73)-log(min(Sheet1!Q$2:Q$104)))/(log(max(Sheet1!Q$2:Q$104))-log(min(Sheet1!Q$2:Q$104)))</f>
        <v>0.610576871</v>
      </c>
      <c r="R73" s="24">
        <f>(log(Sheet1!R73)-log(min(Sheet1!R$2:R$104)))/(log(max(Sheet1!R$2:R$104))-log(min(Sheet1!R$2:R$104)))</f>
        <v>0.8625721056</v>
      </c>
      <c r="S73" s="24">
        <f>(log(Sheet1!S73)-log(min(Sheet1!S$2:S$104)))/(log(max(Sheet1!S$2:S$104))-log(min(Sheet1!S$2:S$104)))</f>
        <v>0.6439189924</v>
      </c>
      <c r="T73" s="24">
        <f>(log(Sheet1!T73)-log(min(Sheet1!T$2:T$104)))/(log(max(Sheet1!T$2:T$104))-log(min(Sheet1!T$2:T$104)))</f>
        <v>0.3039999993</v>
      </c>
      <c r="U73" s="24">
        <f>(log(Sheet1!U73)-log(min(Sheet1!U$2:U$104)))/(log(max(Sheet1!U$2:U$104))-log(min(Sheet1!U$2:U$104)))</f>
        <v>0.4298027594</v>
      </c>
      <c r="V73" s="24"/>
      <c r="W73" s="24"/>
      <c r="X73" s="24"/>
      <c r="Y73" s="24"/>
      <c r="Z73" s="24"/>
      <c r="AA73" s="24"/>
      <c r="AB73" s="24"/>
    </row>
    <row r="74">
      <c r="A74" s="24" t="s">
        <v>139</v>
      </c>
      <c r="B74" s="25">
        <v>68521.0</v>
      </c>
      <c r="C74" s="24">
        <f>(log(Sheet1!C74)-log(min(Sheet1!$C$2:$C$104)))/(log(max(Sheet1!$C$2:$C$104))-log(min(Sheet1!$C$2:$C$104)))</f>
        <v>0.4150720741</v>
      </c>
      <c r="D74" s="24">
        <v>0.4</v>
      </c>
      <c r="E74" s="24">
        <v>0.431</v>
      </c>
      <c r="F74" s="24">
        <v>0.758065</v>
      </c>
      <c r="G74" s="24">
        <v>0.416</v>
      </c>
      <c r="H74" s="24">
        <f>(log(Sheet1!H74)-log(min(Sheet1!$H$2:$H$104)))/(log(max(Sheet1!$H$2:$H$104))-log(min(Sheet1!$H$2:$H$104)))</f>
        <v>0.7351678273</v>
      </c>
      <c r="I74" s="24">
        <f>(log(Sheet1!I74)-log(min(Sheet1!I$2:I$104)))/(log(max(Sheet1!I$2:I$104))-log(min(Sheet1!I$2:I$104)))</f>
        <v>0.7491554464</v>
      </c>
      <c r="J74" s="24">
        <f>(log(Sheet1!J74)-log(min(Sheet1!J$2:J$104)))/(log(max(Sheet1!J$2:J$104))-log(min(Sheet1!J$2:J$104)))</f>
        <v>0.581854589</v>
      </c>
      <c r="K74" s="24">
        <f>(log(Sheet1!K74)-log(min(Sheet1!K$2:K$104)))/(log(max(Sheet1!K$2:K$104))-log(min(Sheet1!K$2:K$104)))</f>
        <v>0.3199926434</v>
      </c>
      <c r="L74" s="24">
        <f>(log(Sheet1!L74)-log(min(Sheet1!L$2:L$104)))/(log(max(Sheet1!L$2:L$104))-log(min(Sheet1!L$2:L$104)))</f>
        <v>0.6758848366</v>
      </c>
      <c r="M74" s="24">
        <f>(log(Sheet1!M74)-log(min(Sheet1!M$2:M$104)))/(log(max(Sheet1!M$2:M$104))-log(min(Sheet1!M$2:M$104)))</f>
        <v>0.8330115037</v>
      </c>
      <c r="N74" s="24">
        <f>(log(Sheet1!N74)-log(min(Sheet1!N$2:N$104)))/(log(max(Sheet1!N$2:N$104))-log(min(Sheet1!N$2:N$104)))</f>
        <v>0.4190580552</v>
      </c>
      <c r="O74" s="24">
        <f>(log(Sheet1!O74)-log(min(Sheet1!O$2:O$104)))/(log(max(Sheet1!O$2:O$104))-log(min(Sheet1!O$2:O$104)))</f>
        <v>0.1343008852</v>
      </c>
      <c r="P74" s="24">
        <f>(log(Sheet1!P74)-log(min(Sheet1!P$2:P$104)))/(log(max(Sheet1!P$2:P$104))-log(min(Sheet1!P$2:P$104)))</f>
        <v>0.5572640831</v>
      </c>
      <c r="Q74" s="24">
        <f>(log(Sheet1!Q74)-log(min(Sheet1!Q$2:Q$104)))/(log(max(Sheet1!Q$2:Q$104))-log(min(Sheet1!Q$2:Q$104)))</f>
        <v>0.6204217621</v>
      </c>
      <c r="R74" s="24">
        <f>(log(Sheet1!R74)-log(min(Sheet1!R$2:R$104)))/(log(max(Sheet1!R$2:R$104))-log(min(Sheet1!R$2:R$104)))</f>
        <v>0.5751422189</v>
      </c>
      <c r="S74" s="24">
        <f>(log(Sheet1!S74)-log(min(Sheet1!S$2:S$104)))/(log(max(Sheet1!S$2:S$104))-log(min(Sheet1!S$2:S$104)))</f>
        <v>0.4653527382</v>
      </c>
      <c r="T74" s="24">
        <f>(log(Sheet1!T74)-log(min(Sheet1!T$2:T$104)))/(log(max(Sheet1!T$2:T$104))-log(min(Sheet1!T$2:T$104)))</f>
        <v>0.1552582256</v>
      </c>
      <c r="U74" s="24">
        <f>(log(Sheet1!U74)-log(min(Sheet1!U$2:U$104)))/(log(max(Sheet1!U$2:U$104))-log(min(Sheet1!U$2:U$104)))</f>
        <v>0.2725177288</v>
      </c>
      <c r="V74" s="24"/>
      <c r="W74" s="24"/>
      <c r="X74" s="24"/>
      <c r="Y74" s="24"/>
      <c r="Z74" s="24"/>
      <c r="AA74" s="24"/>
      <c r="AB74" s="24"/>
    </row>
    <row r="75">
      <c r="A75" s="24" t="s">
        <v>140</v>
      </c>
      <c r="B75" s="25">
        <v>13377.0</v>
      </c>
      <c r="C75" s="24">
        <f>(log(Sheet1!C75)-log(min(Sheet1!$C$2:$C$104)))/(log(max(Sheet1!$C$2:$C$104))-log(min(Sheet1!$C$2:$C$104)))</f>
        <v>0.3476339327</v>
      </c>
      <c r="D75" s="24">
        <v>1.0</v>
      </c>
      <c r="E75" s="24">
        <v>0.44</v>
      </c>
      <c r="F75" s="24">
        <v>0.790323</v>
      </c>
      <c r="G75" s="24">
        <v>0.477</v>
      </c>
      <c r="H75" s="24">
        <f>(log(Sheet1!H75)-log(min(Sheet1!$H$2:$H$104)))/(log(max(Sheet1!$H$2:$H$104))-log(min(Sheet1!$H$2:$H$104)))</f>
        <v>0.6676497514</v>
      </c>
      <c r="I75" s="24">
        <f>(log(Sheet1!I75)-log(min(Sheet1!I$2:I$104)))/(log(max(Sheet1!I$2:I$104))-log(min(Sheet1!I$2:I$104)))</f>
        <v>0.53662927</v>
      </c>
      <c r="J75" s="24">
        <f>(log(Sheet1!J75)-log(min(Sheet1!J$2:J$104)))/(log(max(Sheet1!J$2:J$104))-log(min(Sheet1!J$2:J$104)))</f>
        <v>0.364597776</v>
      </c>
      <c r="K75" s="24">
        <f>(log(Sheet1!K75)-log(min(Sheet1!K$2:K$104)))/(log(max(Sheet1!K$2:K$104))-log(min(Sheet1!K$2:K$104)))</f>
        <v>0.1871412772</v>
      </c>
      <c r="L75" s="24">
        <f>(log(Sheet1!L75)-log(min(Sheet1!L$2:L$104)))/(log(max(Sheet1!L$2:L$104))-log(min(Sheet1!L$2:L$104)))</f>
        <v>0.7049022978</v>
      </c>
      <c r="M75" s="24">
        <f>(log(Sheet1!M75)-log(min(Sheet1!M$2:M$104)))/(log(max(Sheet1!M$2:M$104))-log(min(Sheet1!M$2:M$104)))</f>
        <v>0.8319743566</v>
      </c>
      <c r="N75" s="24">
        <f>(log(Sheet1!N75)-log(min(Sheet1!N$2:N$104)))/(log(max(Sheet1!N$2:N$104))-log(min(Sheet1!N$2:N$104)))</f>
        <v>0.4411782675</v>
      </c>
      <c r="O75" s="24">
        <f>(log(Sheet1!O75)-log(min(Sheet1!O$2:O$104)))/(log(max(Sheet1!O$2:O$104))-log(min(Sheet1!O$2:O$104)))</f>
        <v>0.44016491</v>
      </c>
      <c r="P75" s="24">
        <f>(log(Sheet1!P75)-log(min(Sheet1!P$2:P$104)))/(log(max(Sheet1!P$2:P$104))-log(min(Sheet1!P$2:P$104)))</f>
        <v>0.8304874184</v>
      </c>
      <c r="Q75" s="24">
        <f>(log(Sheet1!Q75)-log(min(Sheet1!Q$2:Q$104)))/(log(max(Sheet1!Q$2:Q$104))-log(min(Sheet1!Q$2:Q$104)))</f>
        <v>0.8082302225</v>
      </c>
      <c r="R75" s="24">
        <f>(log(Sheet1!R75)-log(min(Sheet1!R$2:R$104)))/(log(max(Sheet1!R$2:R$104))-log(min(Sheet1!R$2:R$104)))</f>
        <v>0.6429441812</v>
      </c>
      <c r="S75" s="24">
        <f>(log(Sheet1!S75)-log(min(Sheet1!S$2:S$104)))/(log(max(Sheet1!S$2:S$104))-log(min(Sheet1!S$2:S$104)))</f>
        <v>0.5725680101</v>
      </c>
      <c r="T75" s="24">
        <f>(log(Sheet1!T75)-log(min(Sheet1!T$2:T$104)))/(log(max(Sheet1!T$2:T$104))-log(min(Sheet1!T$2:T$104)))</f>
        <v>0.272248797</v>
      </c>
      <c r="U75" s="24">
        <f>(log(Sheet1!U75)-log(min(Sheet1!U$2:U$104)))/(log(max(Sheet1!U$2:U$104))-log(min(Sheet1!U$2:U$104)))</f>
        <v>0.3015944234</v>
      </c>
      <c r="V75" s="24"/>
      <c r="W75" s="24"/>
      <c r="X75" s="24"/>
      <c r="Y75" s="24"/>
      <c r="Z75" s="24"/>
      <c r="AA75" s="24"/>
      <c r="AB75" s="24"/>
    </row>
    <row r="76">
      <c r="A76" s="24" t="s">
        <v>141</v>
      </c>
      <c r="B76" s="25">
        <v>39737.0</v>
      </c>
      <c r="C76" s="24">
        <f>(log(Sheet1!C76)-log(min(Sheet1!$C$2:$C$104)))/(log(max(Sheet1!$C$2:$C$104))-log(min(Sheet1!$C$2:$C$104)))</f>
        <v>0.4557173736</v>
      </c>
      <c r="D76" s="24">
        <v>0.4</v>
      </c>
      <c r="E76" s="24">
        <v>0.518</v>
      </c>
      <c r="F76" s="24">
        <v>0.693548</v>
      </c>
      <c r="G76" s="24">
        <v>0.188</v>
      </c>
      <c r="H76" s="24">
        <f>(log(Sheet1!H76)-log(min(Sheet1!$H$2:$H$104)))/(log(max(Sheet1!$H$2:$H$104))-log(min(Sheet1!$H$2:$H$104)))</f>
        <v>0.5198135784</v>
      </c>
      <c r="I76" s="24">
        <f>(log(Sheet1!I76)-log(min(Sheet1!I$2:I$104)))/(log(max(Sheet1!I$2:I$104))-log(min(Sheet1!I$2:I$104)))</f>
        <v>0.6719129213</v>
      </c>
      <c r="J76" s="24">
        <f>(log(Sheet1!J76)-log(min(Sheet1!J$2:J$104)))/(log(max(Sheet1!J$2:J$104))-log(min(Sheet1!J$2:J$104)))</f>
        <v>0.3474837568</v>
      </c>
      <c r="K76" s="24">
        <f>(log(Sheet1!K76)-log(min(Sheet1!K$2:K$104)))/(log(max(Sheet1!K$2:K$104))-log(min(Sheet1!K$2:K$104)))</f>
        <v>0.6625103498</v>
      </c>
      <c r="L76" s="24">
        <f>(log(Sheet1!L76)-log(min(Sheet1!L$2:L$104)))/(log(max(Sheet1!L$2:L$104))-log(min(Sheet1!L$2:L$104)))</f>
        <v>0.4902076179</v>
      </c>
      <c r="M76" s="24">
        <f>(log(Sheet1!M76)-log(min(Sheet1!M$2:M$104)))/(log(max(Sheet1!M$2:M$104))-log(min(Sheet1!M$2:M$104)))</f>
        <v>0.8477539949</v>
      </c>
      <c r="N76" s="24">
        <f>(log(Sheet1!N76)-log(min(Sheet1!N$2:N$104)))/(log(max(Sheet1!N$2:N$104))-log(min(Sheet1!N$2:N$104)))</f>
        <v>0.7161881468</v>
      </c>
      <c r="O76" s="24">
        <f>(log(Sheet1!O76)-log(min(Sheet1!O$2:O$104)))/(log(max(Sheet1!O$2:O$104))-log(min(Sheet1!O$2:O$104)))</f>
        <v>0.4741205957</v>
      </c>
      <c r="P76" s="24">
        <f>(log(Sheet1!P76)-log(min(Sheet1!P$2:P$104)))/(log(max(Sheet1!P$2:P$104))-log(min(Sheet1!P$2:P$104)))</f>
        <v>0.6679970453</v>
      </c>
      <c r="Q76" s="24">
        <f>(log(Sheet1!Q76)-log(min(Sheet1!Q$2:Q$104)))/(log(max(Sheet1!Q$2:Q$104))-log(min(Sheet1!Q$2:Q$104)))</f>
        <v>0.7779111799</v>
      </c>
      <c r="R76" s="24">
        <f>(log(Sheet1!R76)-log(min(Sheet1!R$2:R$104)))/(log(max(Sheet1!R$2:R$104))-log(min(Sheet1!R$2:R$104)))</f>
        <v>0.7969670002</v>
      </c>
      <c r="S76" s="24">
        <f>(log(Sheet1!S76)-log(min(Sheet1!S$2:S$104)))/(log(max(Sheet1!S$2:S$104))-log(min(Sheet1!S$2:S$104)))</f>
        <v>0.8905571246</v>
      </c>
      <c r="T76" s="24">
        <f>(log(Sheet1!T76)-log(min(Sheet1!T$2:T$104)))/(log(max(Sheet1!T$2:T$104))-log(min(Sheet1!T$2:T$104)))</f>
        <v>0.2580379831</v>
      </c>
      <c r="U76" s="24">
        <f>(log(Sheet1!U76)-log(min(Sheet1!U$2:U$104)))/(log(max(Sheet1!U$2:U$104))-log(min(Sheet1!U$2:U$104)))</f>
        <v>0.2190988673</v>
      </c>
      <c r="V76" s="24"/>
      <c r="W76" s="24"/>
      <c r="X76" s="24"/>
      <c r="Y76" s="24"/>
      <c r="Z76" s="24"/>
      <c r="AA76" s="24"/>
      <c r="AB76" s="24"/>
    </row>
    <row r="77">
      <c r="A77" s="24" t="s">
        <v>142</v>
      </c>
      <c r="B77" s="25">
        <v>175119.0</v>
      </c>
      <c r="C77" s="24">
        <f>(log(Sheet1!C77)-log(min(Sheet1!$C$2:$C$104)))/(log(max(Sheet1!$C$2:$C$104))-log(min(Sheet1!$C$2:$C$104)))</f>
        <v>0.6263234301</v>
      </c>
      <c r="D77" s="24">
        <v>0.6</v>
      </c>
      <c r="E77" s="24">
        <v>0.609</v>
      </c>
      <c r="F77" s="24">
        <v>0.435484</v>
      </c>
      <c r="G77" s="24">
        <v>0.48</v>
      </c>
      <c r="H77" s="24">
        <f>(log(Sheet1!H77)-log(min(Sheet1!$H$2:$H$104)))/(log(max(Sheet1!$H$2:$H$104))-log(min(Sheet1!$H$2:$H$104)))</f>
        <v>0.3898479095</v>
      </c>
      <c r="I77" s="24">
        <f>(log(Sheet1!I77)-log(min(Sheet1!I$2:I$104)))/(log(max(Sheet1!I$2:I$104))-log(min(Sheet1!I$2:I$104)))</f>
        <v>0.7710053425</v>
      </c>
      <c r="J77" s="24">
        <f>(log(Sheet1!J77)-log(min(Sheet1!J$2:J$104)))/(log(max(Sheet1!J$2:J$104))-log(min(Sheet1!J$2:J$104)))</f>
        <v>0.6557537988</v>
      </c>
      <c r="K77" s="24">
        <f>(log(Sheet1!K77)-log(min(Sheet1!K$2:K$104)))/(log(max(Sheet1!K$2:K$104))-log(min(Sheet1!K$2:K$104)))</f>
        <v>0.3379192421</v>
      </c>
      <c r="L77" s="24">
        <f>(log(Sheet1!L77)-log(min(Sheet1!L$2:L$104)))/(log(max(Sheet1!L$2:L$104))-log(min(Sheet1!L$2:L$104)))</f>
        <v>0.3333938902</v>
      </c>
      <c r="M77" s="24">
        <f>(log(Sheet1!M77)-log(min(Sheet1!M$2:M$104)))/(log(max(Sheet1!M$2:M$104))-log(min(Sheet1!M$2:M$104)))</f>
        <v>0.9161621228</v>
      </c>
      <c r="N77" s="24">
        <f>(log(Sheet1!N77)-log(min(Sheet1!N$2:N$104)))/(log(max(Sheet1!N$2:N$104))-log(min(Sheet1!N$2:N$104)))</f>
        <v>0.4190580552</v>
      </c>
      <c r="O77" s="24">
        <f>(log(Sheet1!O77)-log(min(Sheet1!O$2:O$104)))/(log(max(Sheet1!O$2:O$104))-log(min(Sheet1!O$2:O$104)))</f>
        <v>0.5396716133</v>
      </c>
      <c r="P77" s="24">
        <f>(log(Sheet1!P77)-log(min(Sheet1!P$2:P$104)))/(log(max(Sheet1!P$2:P$104))-log(min(Sheet1!P$2:P$104)))</f>
        <v>0.3451292866</v>
      </c>
      <c r="Q77" s="24">
        <f>(log(Sheet1!Q77)-log(min(Sheet1!Q$2:Q$104)))/(log(max(Sheet1!Q$2:Q$104))-log(min(Sheet1!Q$2:Q$104)))</f>
        <v>0.1996638743</v>
      </c>
      <c r="R77" s="24">
        <f>(log(Sheet1!R77)-log(min(Sheet1!R$2:R$104)))/(log(max(Sheet1!R$2:R$104))-log(min(Sheet1!R$2:R$104)))</f>
        <v>0.9445683157</v>
      </c>
      <c r="S77" s="24">
        <f>(log(Sheet1!S77)-log(min(Sheet1!S$2:S$104)))/(log(max(Sheet1!S$2:S$104))-log(min(Sheet1!S$2:S$104)))</f>
        <v>0.6489066844</v>
      </c>
      <c r="T77" s="24">
        <f>(log(Sheet1!T77)-log(min(Sheet1!T$2:T$104)))/(log(max(Sheet1!T$2:T$104))-log(min(Sheet1!T$2:T$104)))</f>
        <v>0.2652659213</v>
      </c>
      <c r="U77" s="24">
        <f>(log(Sheet1!U77)-log(min(Sheet1!U$2:U$104)))/(log(max(Sheet1!U$2:U$104))-log(min(Sheet1!U$2:U$104)))</f>
        <v>0.3937598745</v>
      </c>
      <c r="V77" s="24"/>
      <c r="W77" s="24"/>
      <c r="X77" s="24"/>
      <c r="Y77" s="24"/>
      <c r="Z77" s="24"/>
      <c r="AA77" s="24"/>
      <c r="AB77" s="24"/>
    </row>
    <row r="78">
      <c r="A78" s="24" t="s">
        <v>144</v>
      </c>
      <c r="B78" s="25">
        <v>20060.0</v>
      </c>
      <c r="C78" s="24">
        <f>(log(Sheet1!C78)-log(min(Sheet1!$C$2:$C$104)))/(log(max(Sheet1!$C$2:$C$104))-log(min(Sheet1!$C$2:$C$104)))</f>
        <v>0.4210413305</v>
      </c>
      <c r="D78" s="24">
        <v>1.0</v>
      </c>
      <c r="E78" s="24">
        <v>0.246</v>
      </c>
      <c r="F78" s="24">
        <v>0.709677</v>
      </c>
      <c r="G78" s="24">
        <v>0.613</v>
      </c>
      <c r="H78" s="24">
        <f>(log(Sheet1!H78)-log(min(Sheet1!$H$2:$H$104)))/(log(max(Sheet1!$H$2:$H$104))-log(min(Sheet1!$H$2:$H$104)))</f>
        <v>0.9937808107</v>
      </c>
      <c r="I78" s="24">
        <f>(log(Sheet1!I78)-log(min(Sheet1!I$2:I$104)))/(log(max(Sheet1!I$2:I$104))-log(min(Sheet1!I$2:I$104)))</f>
        <v>0.8252121841</v>
      </c>
      <c r="J78" s="24">
        <f>(log(Sheet1!J78)-log(min(Sheet1!J$2:J$104)))/(log(max(Sheet1!J$2:J$104))-log(min(Sheet1!J$2:J$104)))</f>
        <v>0.6385885324</v>
      </c>
      <c r="K78" s="24">
        <f>(log(Sheet1!K78)-log(min(Sheet1!K$2:K$104)))/(log(max(Sheet1!K$2:K$104))-log(min(Sheet1!K$2:K$104)))</f>
        <v>0.8785826549</v>
      </c>
      <c r="L78" s="24">
        <f>(log(Sheet1!L78)-log(min(Sheet1!L$2:L$104)))/(log(max(Sheet1!L$2:L$104))-log(min(Sheet1!L$2:L$104)))</f>
        <v>0.1856947813</v>
      </c>
      <c r="M78" s="24">
        <f>(log(Sheet1!M78)-log(min(Sheet1!M$2:M$104)))/(log(max(Sheet1!M$2:M$104))-log(min(Sheet1!M$2:M$104)))</f>
        <v>0.6816133465</v>
      </c>
      <c r="N78" s="24">
        <f>(log(Sheet1!N78)-log(min(Sheet1!N$2:N$104)))/(log(max(Sheet1!N$2:N$104))-log(min(Sheet1!N$2:N$104)))</f>
        <v>0.6983993233</v>
      </c>
      <c r="O78" s="24">
        <f>(log(Sheet1!O78)-log(min(Sheet1!O$2:O$104)))/(log(max(Sheet1!O$2:O$104))-log(min(Sheet1!O$2:O$104)))</f>
        <v>0.369695588</v>
      </c>
      <c r="P78" s="24">
        <f>(log(Sheet1!P78)-log(min(Sheet1!P$2:P$104)))/(log(max(Sheet1!P$2:P$104))-log(min(Sheet1!P$2:P$104)))</f>
        <v>0.6899569827</v>
      </c>
      <c r="Q78" s="24">
        <f>(log(Sheet1!Q78)-log(min(Sheet1!Q$2:Q$104)))/(log(max(Sheet1!Q$2:Q$104))-log(min(Sheet1!Q$2:Q$104)))</f>
        <v>0.555145324</v>
      </c>
      <c r="R78" s="24">
        <f>(log(Sheet1!R78)-log(min(Sheet1!R$2:R$104)))/(log(max(Sheet1!R$2:R$104))-log(min(Sheet1!R$2:R$104)))</f>
        <v>0.4624602896</v>
      </c>
      <c r="S78" s="24">
        <f>(log(Sheet1!S78)-log(min(Sheet1!S$2:S$104)))/(log(max(Sheet1!S$2:S$104))-log(min(Sheet1!S$2:S$104)))</f>
        <v>0.4318742396</v>
      </c>
      <c r="T78" s="24">
        <f>(log(Sheet1!T78)-log(min(Sheet1!T$2:T$104)))/(log(max(Sheet1!T$2:T$104))-log(min(Sheet1!T$2:T$104)))</f>
        <v>0.2262867807</v>
      </c>
      <c r="U78" s="24">
        <f>(log(Sheet1!U78)-log(min(Sheet1!U$2:U$104)))/(log(max(Sheet1!U$2:U$104))-log(min(Sheet1!U$2:U$104)))</f>
        <v>0.4012192712</v>
      </c>
      <c r="V78" s="24"/>
      <c r="W78" s="24"/>
      <c r="X78" s="24"/>
      <c r="Y78" s="24"/>
      <c r="Z78" s="24"/>
      <c r="AA78" s="24"/>
      <c r="AB78" s="24"/>
    </row>
    <row r="79">
      <c r="A79" s="24" t="s">
        <v>145</v>
      </c>
      <c r="B79" s="25">
        <v>147458.0</v>
      </c>
      <c r="C79" s="24">
        <f>(log(Sheet1!C79)-log(min(Sheet1!$C$2:$C$104)))/(log(max(Sheet1!$C$2:$C$104))-log(min(Sheet1!$C$2:$C$104)))</f>
        <v>0.5650568769</v>
      </c>
      <c r="D79" s="24">
        <v>0.4</v>
      </c>
      <c r="E79" s="24">
        <v>0.413</v>
      </c>
      <c r="F79" s="24">
        <v>0.967742</v>
      </c>
      <c r="G79" s="24">
        <v>0.205</v>
      </c>
      <c r="H79" s="24">
        <f>(log(Sheet1!H79)-log(min(Sheet1!$H$2:$H$104)))/(log(max(Sheet1!$H$2:$H$104))-log(min(Sheet1!$H$2:$H$104)))</f>
        <v>0.41895965</v>
      </c>
      <c r="I79" s="24">
        <f>(log(Sheet1!I79)-log(min(Sheet1!I$2:I$104)))/(log(max(Sheet1!I$2:I$104))-log(min(Sheet1!I$2:I$104)))</f>
        <v>0.3798847278</v>
      </c>
      <c r="J79" s="24">
        <f>(log(Sheet1!J79)-log(min(Sheet1!J$2:J$104)))/(log(max(Sheet1!J$2:J$104))-log(min(Sheet1!J$2:J$104)))</f>
        <v>0.2799614433</v>
      </c>
      <c r="K79" s="24">
        <f>(log(Sheet1!K79)-log(min(Sheet1!K$2:K$104)))/(log(max(Sheet1!K$2:K$104))-log(min(Sheet1!K$2:K$104)))</f>
        <v>0.705410361</v>
      </c>
      <c r="L79" s="24">
        <f>(log(Sheet1!L79)-log(min(Sheet1!L$2:L$104)))/(log(max(Sheet1!L$2:L$104))-log(min(Sheet1!L$2:L$104)))</f>
        <v>0.4300903373</v>
      </c>
      <c r="M79" s="24">
        <f>(log(Sheet1!M79)-log(min(Sheet1!M$2:M$104)))/(log(max(Sheet1!M$2:M$104))-log(min(Sheet1!M$2:M$104)))</f>
        <v>0.8979675038</v>
      </c>
      <c r="N79" s="24">
        <f>(log(Sheet1!N79)-log(min(Sheet1!N$2:N$104)))/(log(max(Sheet1!N$2:N$104))-log(min(Sheet1!N$2:N$104)))</f>
        <v>0.8659940517</v>
      </c>
      <c r="O79" s="24">
        <f>(log(Sheet1!O79)-log(min(Sheet1!O$2:O$104)))/(log(max(Sheet1!O$2:O$104))-log(min(Sheet1!O$2:O$104)))</f>
        <v>0.44016491</v>
      </c>
      <c r="P79" s="24">
        <f>(log(Sheet1!P79)-log(min(Sheet1!P$2:P$104)))/(log(max(Sheet1!P$2:P$104))-log(min(Sheet1!P$2:P$104)))</f>
        <v>0.5479430539</v>
      </c>
      <c r="Q79" s="24">
        <f>(log(Sheet1!Q79)-log(min(Sheet1!Q$2:Q$104)))/(log(max(Sheet1!Q$2:Q$104))-log(min(Sheet1!Q$2:Q$104)))</f>
        <v>0.3800317182</v>
      </c>
      <c r="R79" s="24">
        <f>(log(Sheet1!R79)-log(min(Sheet1!R$2:R$104)))/(log(max(Sheet1!R$2:R$104))-log(min(Sheet1!R$2:R$104)))</f>
        <v>0.9029042456</v>
      </c>
      <c r="S79" s="24">
        <f>(log(Sheet1!S79)-log(min(Sheet1!S$2:S$104)))/(log(max(Sheet1!S$2:S$104))-log(min(Sheet1!S$2:S$104)))</f>
        <v>0.4982073774</v>
      </c>
      <c r="T79" s="24">
        <f>(log(Sheet1!T79)-log(min(Sheet1!T$2:T$104)))/(log(max(Sheet1!T$2:T$104))-log(min(Sheet1!T$2:T$104)))</f>
        <v>0.2346950953</v>
      </c>
      <c r="U79" s="24">
        <f>(log(Sheet1!U79)-log(min(Sheet1!U$2:U$104)))/(log(max(Sheet1!U$2:U$104))-log(min(Sheet1!U$2:U$104)))</f>
        <v>0.3543437932</v>
      </c>
      <c r="V79" s="24"/>
      <c r="W79" s="24"/>
      <c r="X79" s="24"/>
      <c r="Y79" s="24"/>
      <c r="Z79" s="24"/>
      <c r="AA79" s="24"/>
      <c r="AB79" s="24"/>
    </row>
    <row r="80">
      <c r="A80" s="24" t="s">
        <v>146</v>
      </c>
      <c r="B80" s="25">
        <v>42324.0</v>
      </c>
      <c r="C80" s="24">
        <f>(log(Sheet1!C80)-log(min(Sheet1!$C$2:$C$104)))/(log(max(Sheet1!$C$2:$C$104))-log(min(Sheet1!$C$2:$C$104)))</f>
        <v>0.4292300385</v>
      </c>
      <c r="D80" s="24">
        <v>0.8</v>
      </c>
      <c r="E80" s="24">
        <v>0.602</v>
      </c>
      <c r="F80" s="24">
        <v>0.645161</v>
      </c>
      <c r="G80" s="24">
        <v>0.199</v>
      </c>
      <c r="H80" s="24">
        <f>(log(Sheet1!H80)-log(min(Sheet1!$H$2:$H$104)))/(log(max(Sheet1!$H$2:$H$104))-log(min(Sheet1!$H$2:$H$104)))</f>
        <v>0.2544363593</v>
      </c>
      <c r="I80" s="24">
        <f>(log(Sheet1!I80)-log(min(Sheet1!I$2:I$104)))/(log(max(Sheet1!I$2:I$104))-log(min(Sheet1!I$2:I$104)))</f>
        <v>0.3916670304</v>
      </c>
      <c r="J80" s="24">
        <f>(log(Sheet1!J80)-log(min(Sheet1!J$2:J$104)))/(log(max(Sheet1!J$2:J$104))-log(min(Sheet1!J$2:J$104)))</f>
        <v>0.2324438487</v>
      </c>
      <c r="K80" s="24">
        <f>(log(Sheet1!K80)-log(min(Sheet1!K$2:K$104)))/(log(max(Sheet1!K$2:K$104))-log(min(Sheet1!K$2:K$104)))</f>
        <v>0.6044127292</v>
      </c>
      <c r="L80" s="24">
        <f>(log(Sheet1!L80)-log(min(Sheet1!L$2:L$104)))/(log(max(Sheet1!L$2:L$104))-log(min(Sheet1!L$2:L$104)))</f>
        <v>0.417584503</v>
      </c>
      <c r="M80" s="24">
        <f>(log(Sheet1!M80)-log(min(Sheet1!M$2:M$104)))/(log(max(Sheet1!M$2:M$104))-log(min(Sheet1!M$2:M$104)))</f>
        <v>0.7936369206</v>
      </c>
      <c r="N80" s="24">
        <f>(log(Sheet1!N80)-log(min(Sheet1!N$2:N$104)))/(log(max(Sheet1!N$2:N$104))-log(min(Sheet1!N$2:N$104)))</f>
        <v>0.7681088313</v>
      </c>
      <c r="O80" s="24">
        <f>(log(Sheet1!O80)-log(min(Sheet1!O$2:O$104)))/(log(max(Sheet1!O$2:O$104))-log(min(Sheet1!O$2:O$104)))</f>
        <v>0.854101578</v>
      </c>
      <c r="P80" s="24">
        <f>(log(Sheet1!P80)-log(min(Sheet1!P$2:P$104)))/(log(max(Sheet1!P$2:P$104))-log(min(Sheet1!P$2:P$104)))</f>
        <v>0.6652023914</v>
      </c>
      <c r="Q80" s="24">
        <f>(log(Sheet1!Q80)-log(min(Sheet1!Q$2:Q$104)))/(log(max(Sheet1!Q$2:Q$104))-log(min(Sheet1!Q$2:Q$104)))</f>
        <v>0.2896663804</v>
      </c>
      <c r="R80" s="24">
        <f>(log(Sheet1!R80)-log(min(Sheet1!R$2:R$104)))/(log(max(Sheet1!R$2:R$104))-log(min(Sheet1!R$2:R$104)))</f>
        <v>0.7897833024</v>
      </c>
      <c r="S80" s="24">
        <f>(log(Sheet1!S80)-log(min(Sheet1!S$2:S$104)))/(log(max(Sheet1!S$2:S$104))-log(min(Sheet1!S$2:S$104)))</f>
        <v>0.828685936</v>
      </c>
      <c r="T80" s="24">
        <f>(log(Sheet1!T80)-log(min(Sheet1!T$2:T$104)))/(log(max(Sheet1!T$2:T$104))-log(min(Sheet1!T$2:T$104)))</f>
        <v>0.272248797</v>
      </c>
      <c r="U80" s="24">
        <f>(log(Sheet1!U80)-log(min(Sheet1!U$2:U$104)))/(log(max(Sheet1!U$2:U$104))-log(min(Sheet1!U$2:U$104)))</f>
        <v>0.3784329159</v>
      </c>
      <c r="V80" s="24"/>
      <c r="W80" s="24"/>
      <c r="X80" s="24"/>
      <c r="Y80" s="24"/>
      <c r="Z80" s="24"/>
      <c r="AA80" s="24"/>
      <c r="AB80" s="24"/>
    </row>
    <row r="81">
      <c r="A81" s="24" t="s">
        <v>147</v>
      </c>
      <c r="B81" s="25">
        <v>117365.0</v>
      </c>
      <c r="C81" s="24">
        <f>(log(Sheet1!C81)-log(min(Sheet1!$C$2:$C$104)))/(log(max(Sheet1!$C$2:$C$104))-log(min(Sheet1!$C$2:$C$104)))</f>
        <v>0.4882442415</v>
      </c>
      <c r="D81" s="24">
        <v>0.8</v>
      </c>
      <c r="E81" s="24">
        <v>0.735</v>
      </c>
      <c r="F81" s="24">
        <v>0.693548</v>
      </c>
      <c r="G81" s="24">
        <v>0.107</v>
      </c>
      <c r="H81" s="24">
        <f>(log(Sheet1!H81)-log(min(Sheet1!$H$2:$H$104)))/(log(max(Sheet1!$H$2:$H$104))-log(min(Sheet1!$H$2:$H$104)))</f>
        <v>0.2977926023</v>
      </c>
      <c r="I81" s="24">
        <f>(log(Sheet1!I81)-log(min(Sheet1!I$2:I$104)))/(log(max(Sheet1!I$2:I$104))-log(min(Sheet1!I$2:I$104)))</f>
        <v>0.06955955345</v>
      </c>
      <c r="J81" s="24">
        <f>(log(Sheet1!J81)-log(min(Sheet1!J$2:J$104)))/(log(max(Sheet1!J$2:J$104))-log(min(Sheet1!J$2:J$104)))</f>
        <v>0.1728289305</v>
      </c>
      <c r="K81" s="24">
        <f>(log(Sheet1!K81)-log(min(Sheet1!K$2:K$104)))/(log(max(Sheet1!K$2:K$104))-log(min(Sheet1!K$2:K$104)))</f>
        <v>0.4445278626</v>
      </c>
      <c r="L81" s="24">
        <f>(log(Sheet1!L81)-log(min(Sheet1!L$2:L$104)))/(log(max(Sheet1!L$2:L$104))-log(min(Sheet1!L$2:L$104)))</f>
        <v>0.2806936237</v>
      </c>
      <c r="M81" s="24">
        <f>(log(Sheet1!M81)-log(min(Sheet1!M$2:M$104)))/(log(max(Sheet1!M$2:M$104))-log(min(Sheet1!M$2:M$104)))</f>
        <v>0.9866079453</v>
      </c>
      <c r="N81" s="24">
        <f>(log(Sheet1!N81)-log(min(Sheet1!N$2:N$104)))/(log(max(Sheet1!N$2:N$104))-log(min(Sheet1!N$2:N$104)))</f>
        <v>0.7161881468</v>
      </c>
      <c r="O81" s="24">
        <f>(log(Sheet1!O81)-log(min(Sheet1!O$2:O$104)))/(log(max(Sheet1!O$2:O$104))-log(min(Sheet1!O$2:O$104)))</f>
        <v>0.691333204</v>
      </c>
      <c r="P81" s="24">
        <f>(log(Sheet1!P81)-log(min(Sheet1!P$2:P$104)))/(log(max(Sheet1!P$2:P$104))-log(min(Sheet1!P$2:P$104)))</f>
        <v>0.4807082312</v>
      </c>
      <c r="Q81" s="24">
        <f>(log(Sheet1!Q81)-log(min(Sheet1!Q$2:Q$104)))/(log(max(Sheet1!Q$2:Q$104))-log(min(Sheet1!Q$2:Q$104)))</f>
        <v>0.403167651</v>
      </c>
      <c r="R81" s="24">
        <f>(log(Sheet1!R81)-log(min(Sheet1!R$2:R$104)))/(log(max(Sheet1!R$2:R$104))-log(min(Sheet1!R$2:R$104)))</f>
        <v>0.5751422189</v>
      </c>
      <c r="S81" s="24">
        <f>(log(Sheet1!S81)-log(min(Sheet1!S$2:S$104)))/(log(max(Sheet1!S$2:S$104))-log(min(Sheet1!S$2:S$104)))</f>
        <v>0.9292147793</v>
      </c>
      <c r="T81" s="24">
        <f>(log(Sheet1!T81)-log(min(Sheet1!T$2:T$104)))/(log(max(Sheet1!T$2:T$104))-log(min(Sheet1!T$2:T$104)))</f>
        <v>0.2427735858</v>
      </c>
      <c r="U81" s="24">
        <f>(log(Sheet1!U81)-log(min(Sheet1!U$2:U$104)))/(log(max(Sheet1!U$2:U$104))-log(min(Sheet1!U$2:U$104)))</f>
        <v>0.2303380643</v>
      </c>
      <c r="V81" s="24"/>
      <c r="W81" s="24"/>
      <c r="X81" s="24"/>
      <c r="Y81" s="24"/>
      <c r="Z81" s="24"/>
      <c r="AA81" s="24"/>
      <c r="AB81" s="24"/>
    </row>
    <row r="82">
      <c r="A82" s="24" t="s">
        <v>148</v>
      </c>
      <c r="B82" s="25">
        <v>92518.0</v>
      </c>
      <c r="C82" s="24">
        <f>(log(Sheet1!C82)-log(min(Sheet1!$C$2:$C$104)))/(log(max(Sheet1!$C$2:$C$104))-log(min(Sheet1!$C$2:$C$104)))</f>
        <v>0.5386015216</v>
      </c>
      <c r="D82" s="24">
        <v>0.4</v>
      </c>
      <c r="E82" s="24">
        <v>0.464</v>
      </c>
      <c r="F82" s="24">
        <v>0.774194</v>
      </c>
      <c r="G82" s="24">
        <v>0.188</v>
      </c>
      <c r="H82" s="24">
        <f>(log(Sheet1!H82)-log(min(Sheet1!$H$2:$H$104)))/(log(max(Sheet1!$H$2:$H$104))-log(min(Sheet1!$H$2:$H$104)))</f>
        <v>0.2281122684</v>
      </c>
      <c r="I82" s="24">
        <f>(log(Sheet1!I82)-log(min(Sheet1!I$2:I$104)))/(log(max(Sheet1!I$2:I$104))-log(min(Sheet1!I$2:I$104)))</f>
        <v>0.4034213796</v>
      </c>
      <c r="J82" s="24">
        <f>(log(Sheet1!J82)-log(min(Sheet1!J$2:J$104)))/(log(max(Sheet1!J$2:J$104))-log(min(Sheet1!J$2:J$104)))</f>
        <v>0.2288941341</v>
      </c>
      <c r="K82" s="24">
        <f>(log(Sheet1!K82)-log(min(Sheet1!K$2:K$104)))/(log(max(Sheet1!K$2:K$104))-log(min(Sheet1!K$2:K$104)))</f>
        <v>0.6919275025</v>
      </c>
      <c r="L82" s="24">
        <f>(log(Sheet1!L82)-log(min(Sheet1!L$2:L$104)))/(log(max(Sheet1!L$2:L$104))-log(min(Sheet1!L$2:L$104)))</f>
        <v>0.435156101</v>
      </c>
      <c r="M82" s="24">
        <f>(log(Sheet1!M82)-log(min(Sheet1!M$2:M$104)))/(log(max(Sheet1!M$2:M$104))-log(min(Sheet1!M$2:M$104)))</f>
        <v>0.8745701534</v>
      </c>
      <c r="N82" s="24">
        <f>(log(Sheet1!N82)-log(min(Sheet1!N$2:N$104)))/(log(max(Sheet1!N$2:N$104))-log(min(Sheet1!N$2:N$104)))</f>
        <v>0.7849551722</v>
      </c>
      <c r="O82" s="24">
        <f>(log(Sheet1!O82)-log(min(Sheet1!O$2:O$104)))/(log(max(Sheet1!O$2:O$104))-log(min(Sheet1!O$2:O$104)))</f>
        <v>0.6023082705</v>
      </c>
      <c r="P82" s="24">
        <f>(log(Sheet1!P82)-log(min(Sheet1!P$2:P$104)))/(log(max(Sheet1!P$2:P$104))-log(min(Sheet1!P$2:P$104)))</f>
        <v>0.5814893299</v>
      </c>
      <c r="Q82" s="24">
        <f>(log(Sheet1!Q82)-log(min(Sheet1!Q$2:Q$104)))/(log(max(Sheet1!Q$2:Q$104))-log(min(Sheet1!Q$2:Q$104)))</f>
        <v>0.4974078438</v>
      </c>
      <c r="R82" s="24">
        <f>(log(Sheet1!R82)-log(min(Sheet1!R$2:R$104)))/(log(max(Sheet1!R$2:R$104))-log(min(Sheet1!R$2:R$104)))</f>
        <v>0.8040257578</v>
      </c>
      <c r="S82" s="24">
        <f>(log(Sheet1!S82)-log(min(Sheet1!S$2:S$104)))/(log(max(Sheet1!S$2:S$104))-log(min(Sheet1!S$2:S$104)))</f>
        <v>0.7738686311</v>
      </c>
      <c r="T82" s="24">
        <f>(log(Sheet1!T82)-log(min(Sheet1!T$2:T$104)))/(log(max(Sheet1!T$2:T$104))-log(min(Sheet1!T$2:T$104)))</f>
        <v>0.5820512956</v>
      </c>
      <c r="U82" s="24">
        <f>(log(Sheet1!U82)-log(min(Sheet1!U$2:U$104)))/(log(max(Sheet1!U$2:U$104))-log(min(Sheet1!U$2:U$104)))</f>
        <v>0.3861660671</v>
      </c>
      <c r="V82" s="24"/>
      <c r="W82" s="24"/>
      <c r="X82" s="24"/>
      <c r="Y82" s="24"/>
      <c r="Z82" s="24"/>
      <c r="AA82" s="24"/>
      <c r="AB82" s="24"/>
    </row>
    <row r="83">
      <c r="A83" s="24" t="s">
        <v>149</v>
      </c>
      <c r="B83" s="25">
        <v>151661.0</v>
      </c>
      <c r="C83" s="24">
        <f>(log(Sheet1!C83)-log(min(Sheet1!$C$2:$C$104)))/(log(max(Sheet1!$C$2:$C$104))-log(min(Sheet1!$C$2:$C$104)))</f>
        <v>0.6457346517</v>
      </c>
      <c r="D83" s="24">
        <v>0.2</v>
      </c>
      <c r="E83" s="24">
        <v>0.498</v>
      </c>
      <c r="F83" s="24">
        <v>0.790323</v>
      </c>
      <c r="G83" s="24">
        <v>0.21</v>
      </c>
      <c r="H83" s="24">
        <f>(log(Sheet1!H83)-log(min(Sheet1!$H$2:$H$104)))/(log(max(Sheet1!$H$2:$H$104))-log(min(Sheet1!$H$2:$H$104)))</f>
        <v>0.4194837405</v>
      </c>
      <c r="I83" s="24">
        <f>(log(Sheet1!I83)-log(min(Sheet1!I$2:I$104)))/(log(max(Sheet1!I$2:I$104))-log(min(Sheet1!I$2:I$104)))</f>
        <v>0.6159929608</v>
      </c>
      <c r="J83" s="24">
        <f>(log(Sheet1!J83)-log(min(Sheet1!J$2:J$104)))/(log(max(Sheet1!J$2:J$104))-log(min(Sheet1!J$2:J$104)))</f>
        <v>0.3947051607</v>
      </c>
      <c r="K83" s="24">
        <f>(log(Sheet1!K83)-log(min(Sheet1!K$2:K$104)))/(log(max(Sheet1!K$2:K$104))-log(min(Sheet1!K$2:K$104)))</f>
        <v>0.6967480199</v>
      </c>
      <c r="L83" s="24">
        <f>(log(Sheet1!L83)-log(min(Sheet1!L$2:L$104)))/(log(max(Sheet1!L$2:L$104))-log(min(Sheet1!L$2:L$104)))</f>
        <v>0.4956234822</v>
      </c>
      <c r="M83" s="24">
        <f>(log(Sheet1!M83)-log(min(Sheet1!M$2:M$104)))/(log(max(Sheet1!M$2:M$104))-log(min(Sheet1!M$2:M$104)))</f>
        <v>0.8693206546</v>
      </c>
      <c r="N83" s="24">
        <f>(log(Sheet1!N83)-log(min(Sheet1!N$2:N$104)))/(log(max(Sheet1!N$2:N$104))-log(min(Sheet1!N$2:N$104)))</f>
        <v>0.7849551722</v>
      </c>
      <c r="O83" s="24">
        <f>(log(Sheet1!O83)-log(min(Sheet1!O$2:O$104)))/(log(max(Sheet1!O$2:O$104))-log(min(Sheet1!O$2:O$104)))</f>
        <v>0.44016491</v>
      </c>
      <c r="P83" s="24">
        <f>(log(Sheet1!P83)-log(min(Sheet1!P$2:P$104)))/(log(max(Sheet1!P$2:P$104))-log(min(Sheet1!P$2:P$104)))</f>
        <v>0.441560412</v>
      </c>
      <c r="Q83" s="24">
        <f>(log(Sheet1!Q83)-log(min(Sheet1!Q$2:Q$104)))/(log(max(Sheet1!Q$2:Q$104))-log(min(Sheet1!Q$2:Q$104)))</f>
        <v>0.4371642196</v>
      </c>
      <c r="R83" s="24">
        <f>(log(Sheet1!R83)-log(min(Sheet1!R$2:R$104)))/(log(max(Sheet1!R$2:R$104))-log(min(Sheet1!R$2:R$104)))</f>
        <v>0.7518240375</v>
      </c>
      <c r="S83" s="24">
        <f>(log(Sheet1!S83)-log(min(Sheet1!S$2:S$104)))/(log(max(Sheet1!S$2:S$104))-log(min(Sheet1!S$2:S$104)))</f>
        <v>0.5621351515</v>
      </c>
      <c r="T83" s="24">
        <f>(log(Sheet1!T83)-log(min(Sheet1!T$2:T$104)))/(log(max(Sheet1!T$2:T$104))-log(min(Sheet1!T$2:T$104)))</f>
        <v>0.2505471538</v>
      </c>
      <c r="U83" s="24">
        <f>(log(Sheet1!U83)-log(min(Sheet1!U$2:U$104)))/(log(max(Sheet1!U$2:U$104))-log(min(Sheet1!U$2:U$104)))</f>
        <v>0.3784329159</v>
      </c>
      <c r="V83" s="24"/>
      <c r="W83" s="24"/>
      <c r="X83" s="24"/>
      <c r="Y83" s="24"/>
      <c r="Z83" s="24"/>
      <c r="AA83" s="24"/>
      <c r="AB83" s="24"/>
    </row>
    <row r="84">
      <c r="A84" s="24" t="s">
        <v>150</v>
      </c>
      <c r="B84" s="25">
        <v>65507.0</v>
      </c>
      <c r="C84" s="24">
        <f>(log(Sheet1!C84)-log(min(Sheet1!$C$2:$C$104)))/(log(max(Sheet1!$C$2:$C$104))-log(min(Sheet1!$C$2:$C$104)))</f>
        <v>0.4781103754</v>
      </c>
      <c r="D84" s="24">
        <v>0.8</v>
      </c>
      <c r="E84" s="24">
        <v>0.336</v>
      </c>
      <c r="F84" s="24">
        <v>0.887097</v>
      </c>
      <c r="G84" s="24">
        <v>0.139</v>
      </c>
      <c r="H84" s="24">
        <f>(log(Sheet1!H84)-log(min(Sheet1!$H$2:$H$104)))/(log(max(Sheet1!$H$2:$H$104))-log(min(Sheet1!$H$2:$H$104)))</f>
        <v>0.5328520235</v>
      </c>
      <c r="I84" s="24">
        <f>(log(Sheet1!I84)-log(min(Sheet1!I$2:I$104)))/(log(max(Sheet1!I$2:I$104))-log(min(Sheet1!I$2:I$104)))</f>
        <v>0.5309114899</v>
      </c>
      <c r="J84" s="24">
        <f>(log(Sheet1!J84)-log(min(Sheet1!J$2:J$104)))/(log(max(Sheet1!J$2:J$104))-log(min(Sheet1!J$2:J$104)))</f>
        <v>0.3729669329</v>
      </c>
      <c r="K84" s="24">
        <f>(log(Sheet1!K84)-log(min(Sheet1!K$2:K$104)))/(log(max(Sheet1!K$2:K$104))-log(min(Sheet1!K$2:K$104)))</f>
        <v>0.9127164622</v>
      </c>
      <c r="L84" s="24">
        <f>(log(Sheet1!L84)-log(min(Sheet1!L$2:L$104)))/(log(max(Sheet1!L$2:L$104))-log(min(Sheet1!L$2:L$104)))</f>
        <v>0.2762293199</v>
      </c>
      <c r="M84" s="24">
        <f>(log(Sheet1!M84)-log(min(Sheet1!M$2:M$104)))/(log(max(Sheet1!M$2:M$104))-log(min(Sheet1!M$2:M$104)))</f>
        <v>0.8055759025</v>
      </c>
      <c r="N84" s="24">
        <f>(log(Sheet1!N84)-log(min(Sheet1!N$2:N$104)))/(log(max(Sheet1!N$2:N$104))-log(min(Sheet1!N$2:N$104)))</f>
        <v>0.7849551722</v>
      </c>
      <c r="O84" s="24">
        <f>(log(Sheet1!O84)-log(min(Sheet1!O$2:O$104)))/(log(max(Sheet1!O$2:O$104))-log(min(Sheet1!O$2:O$104)))</f>
        <v>0.44016491</v>
      </c>
      <c r="P84" s="24">
        <f>(log(Sheet1!P84)-log(min(Sheet1!P$2:P$104)))/(log(max(Sheet1!P$2:P$104))-log(min(Sheet1!P$2:P$104)))</f>
        <v>0.5553259566</v>
      </c>
      <c r="Q84" s="24">
        <f>(log(Sheet1!Q84)-log(min(Sheet1!Q$2:Q$104)))/(log(max(Sheet1!Q$2:Q$104))-log(min(Sheet1!Q$2:Q$104)))</f>
        <v>0.492037919</v>
      </c>
      <c r="R84" s="24">
        <f>(log(Sheet1!R84)-log(min(Sheet1!R$2:R$104)))/(log(max(Sheet1!R$2:R$104))-log(min(Sheet1!R$2:R$104)))</f>
        <v>0.8439794658</v>
      </c>
      <c r="S84" s="24">
        <f>(log(Sheet1!S84)-log(min(Sheet1!S$2:S$104)))/(log(max(Sheet1!S$2:S$104))-log(min(Sheet1!S$2:S$104)))</f>
        <v>0.72207685</v>
      </c>
      <c r="T84" s="24">
        <f>(log(Sheet1!T84)-log(min(Sheet1!T$2:T$104)))/(log(max(Sheet1!T$2:T$104))-log(min(Sheet1!T$2:T$104)))</f>
        <v>0.3098024986</v>
      </c>
      <c r="U84" s="24">
        <f>(log(Sheet1!U84)-log(min(Sheet1!U$2:U$104)))/(log(max(Sheet1!U$2:U$104))-log(min(Sheet1!U$2:U$104)))</f>
        <v>0.4500360006</v>
      </c>
      <c r="V84" s="24"/>
      <c r="W84" s="24"/>
      <c r="X84" s="24"/>
      <c r="Y84" s="24"/>
      <c r="Z84" s="24"/>
      <c r="AA84" s="24"/>
      <c r="AB84" s="24"/>
    </row>
    <row r="85">
      <c r="A85" s="24" t="s">
        <v>151</v>
      </c>
      <c r="B85" s="25">
        <v>59601.0</v>
      </c>
      <c r="C85" s="24">
        <f>(log(Sheet1!C85)-log(min(Sheet1!$C$2:$C$104)))/(log(max(Sheet1!$C$2:$C$104))-log(min(Sheet1!$C$2:$C$104)))</f>
        <v>0.3750340835</v>
      </c>
      <c r="D85" s="24">
        <v>1.0</v>
      </c>
      <c r="E85" s="24">
        <v>0.646</v>
      </c>
      <c r="F85" s="24">
        <v>0.709677</v>
      </c>
      <c r="G85" s="24">
        <v>0.209</v>
      </c>
      <c r="H85" s="24">
        <f>(log(Sheet1!H85)-log(min(Sheet1!$H$2:$H$104)))/(log(max(Sheet1!$H$2:$H$104))-log(min(Sheet1!$H$2:$H$104)))</f>
        <v>0.4088439937</v>
      </c>
      <c r="I85" s="24">
        <f>(log(Sheet1!I85)-log(min(Sheet1!I$2:I$104)))/(log(max(Sheet1!I$2:I$104))-log(min(Sheet1!I$2:I$104)))</f>
        <v>0.3975476909</v>
      </c>
      <c r="J85" s="24">
        <f>(log(Sheet1!J85)-log(min(Sheet1!J$2:J$104)))/(log(max(Sheet1!J$2:J$104))-log(min(Sheet1!J$2:J$104)))</f>
        <v>0.2181111754</v>
      </c>
      <c r="K85" s="24">
        <f>(log(Sheet1!K85)-log(min(Sheet1!K$2:K$104)))/(log(max(Sheet1!K$2:K$104))-log(min(Sheet1!K$2:K$104)))</f>
        <v>0.4360149372</v>
      </c>
      <c r="L85" s="24">
        <f>(log(Sheet1!L85)-log(min(Sheet1!L$2:L$104)))/(log(max(Sheet1!L$2:L$104))-log(min(Sheet1!L$2:L$104)))</f>
        <v>0.2861808283</v>
      </c>
      <c r="M85" s="24">
        <f>(log(Sheet1!M85)-log(min(Sheet1!M$2:M$104)))/(log(max(Sheet1!M$2:M$104))-log(min(Sheet1!M$2:M$104)))</f>
        <v>1</v>
      </c>
      <c r="N85" s="24">
        <f>(log(Sheet1!N85)-log(min(Sheet1!N$2:N$104)))/(log(max(Sheet1!N$2:N$104))-log(min(Sheet1!N$2:N$104)))</f>
        <v>0.6055201038</v>
      </c>
      <c r="O85" s="24">
        <f>(log(Sheet1!O85)-log(min(Sheet1!O$2:O$104)))/(log(max(Sheet1!O$2:O$104))-log(min(Sheet1!O$2:O$104)))</f>
        <v>0.44016491</v>
      </c>
      <c r="P85" s="24">
        <f>(log(Sheet1!P85)-log(min(Sheet1!P$2:P$104)))/(log(max(Sheet1!P$2:P$104))-log(min(Sheet1!P$2:P$104)))</f>
        <v>0.6551233635</v>
      </c>
      <c r="Q85" s="24">
        <f>(log(Sheet1!Q85)-log(min(Sheet1!Q$2:Q$104)))/(log(max(Sheet1!Q$2:Q$104))-log(min(Sheet1!Q$2:Q$104)))</f>
        <v>0.4538552884</v>
      </c>
      <c r="R85" s="24">
        <f>(log(Sheet1!R85)-log(min(Sheet1!R$2:R$104)))/(log(max(Sheet1!R$2:R$104))-log(min(Sheet1!R$2:R$104)))</f>
        <v>0.3916957715</v>
      </c>
      <c r="S85" s="24">
        <f>(log(Sheet1!S85)-log(min(Sheet1!S$2:S$104)))/(log(max(Sheet1!S$2:S$104))-log(min(Sheet1!S$2:S$104)))</f>
        <v>0.7877335619</v>
      </c>
      <c r="T85" s="24">
        <f>(log(Sheet1!T85)-log(min(Sheet1!T$2:T$104)))/(log(max(Sheet1!T$2:T$104))-log(min(Sheet1!T$2:T$104)))</f>
        <v>0.2346950953</v>
      </c>
      <c r="U85" s="24">
        <f>(log(Sheet1!U85)-log(min(Sheet1!U$2:U$104)))/(log(max(Sheet1!U$2:U$104))-log(min(Sheet1!U$2:U$104)))</f>
        <v>0.3108573218</v>
      </c>
      <c r="V85" s="24"/>
      <c r="W85" s="24"/>
      <c r="X85" s="24"/>
      <c r="Y85" s="24"/>
      <c r="Z85" s="24"/>
      <c r="AA85" s="24"/>
      <c r="AB85" s="24"/>
    </row>
    <row r="86">
      <c r="A86" s="24" t="s">
        <v>152</v>
      </c>
      <c r="B86" s="25">
        <v>34376.0</v>
      </c>
      <c r="C86" s="24">
        <f>(log(Sheet1!C86)-log(min(Sheet1!$C$2:$C$104)))/(log(max(Sheet1!$C$2:$C$104))-log(min(Sheet1!$C$2:$C$104)))</f>
        <v>0.4594583071</v>
      </c>
      <c r="D86" s="24">
        <v>0.8</v>
      </c>
      <c r="E86" s="24">
        <v>0.664</v>
      </c>
      <c r="F86" s="24">
        <v>0.548387</v>
      </c>
      <c r="G86" s="24">
        <v>0.106</v>
      </c>
      <c r="H86" s="24">
        <f>(log(Sheet1!H86)-log(min(Sheet1!$H$2:$H$104)))/(log(max(Sheet1!$H$2:$H$104))-log(min(Sheet1!$H$2:$H$104)))</f>
        <v>0.2184489879</v>
      </c>
      <c r="I86" s="24">
        <f>(log(Sheet1!I86)-log(min(Sheet1!I$2:I$104)))/(log(max(Sheet1!I$2:I$104))-log(min(Sheet1!I$2:I$104)))</f>
        <v>0.2846037932</v>
      </c>
      <c r="J86" s="24">
        <f>(log(Sheet1!J86)-log(min(Sheet1!J$2:J$104)))/(log(max(Sheet1!J$2:J$104))-log(min(Sheet1!J$2:J$104)))</f>
        <v>0.1806287389</v>
      </c>
      <c r="K86" s="24">
        <f>(log(Sheet1!K86)-log(min(Sheet1!K$2:K$104)))/(log(max(Sheet1!K$2:K$104))-log(min(Sheet1!K$2:K$104)))</f>
        <v>0.5591610631</v>
      </c>
      <c r="L86" s="24">
        <f>(log(Sheet1!L86)-log(min(Sheet1!L$2:L$104)))/(log(max(Sheet1!L$2:L$104))-log(min(Sheet1!L$2:L$104)))</f>
        <v>0.2608967083</v>
      </c>
      <c r="M86" s="24">
        <f>(log(Sheet1!M86)-log(min(Sheet1!M$2:M$104)))/(log(max(Sheet1!M$2:M$104))-log(min(Sheet1!M$2:M$104)))</f>
        <v>0.7774135391</v>
      </c>
      <c r="N86" s="24">
        <f>(log(Sheet1!N86)-log(min(Sheet1!N$2:N$104)))/(log(max(Sheet1!N$2:N$104))-log(min(Sheet1!N$2:N$104)))</f>
        <v>0.7161881468</v>
      </c>
      <c r="O86" s="24">
        <f>(log(Sheet1!O86)-log(min(Sheet1!O$2:O$104)))/(log(max(Sheet1!O$2:O$104))-log(min(Sheet1!O$2:O$104)))</f>
        <v>0.854101578</v>
      </c>
      <c r="P86" s="24">
        <f>(log(Sheet1!P86)-log(min(Sheet1!P$2:P$104)))/(log(max(Sheet1!P$2:P$104))-log(min(Sheet1!P$2:P$104)))</f>
        <v>0.6374161204</v>
      </c>
      <c r="Q86" s="24">
        <f>(log(Sheet1!Q86)-log(min(Sheet1!Q$2:Q$104)))/(log(max(Sheet1!Q$2:Q$104))-log(min(Sheet1!Q$2:Q$104)))</f>
        <v>0.2708653187</v>
      </c>
      <c r="R86" s="24">
        <f>(log(Sheet1!R86)-log(min(Sheet1!R$2:R$104)))/(log(max(Sheet1!R$2:R$104))-log(min(Sheet1!R$2:R$104)))</f>
        <v>0.7099448238</v>
      </c>
      <c r="S86" s="24">
        <f>(log(Sheet1!S86)-log(min(Sheet1!S$2:S$104)))/(log(max(Sheet1!S$2:S$104))-log(min(Sheet1!S$2:S$104)))</f>
        <v>0.8992212597</v>
      </c>
      <c r="T86" s="24">
        <f>(log(Sheet1!T86)-log(min(Sheet1!T$2:T$104)))/(log(max(Sheet1!T$2:T$104))-log(min(Sheet1!T$2:T$104)))</f>
        <v>0.2346950953</v>
      </c>
      <c r="U86" s="24">
        <f>(log(Sheet1!U86)-log(min(Sheet1!U$2:U$104)))/(log(max(Sheet1!U$2:U$104))-log(min(Sheet1!U$2:U$104)))</f>
        <v>0.4500360006</v>
      </c>
      <c r="V86" s="24"/>
      <c r="W86" s="24"/>
      <c r="X86" s="24"/>
      <c r="Y86" s="24"/>
      <c r="Z86" s="24"/>
      <c r="AA86" s="24"/>
      <c r="AB86" s="24"/>
    </row>
    <row r="87">
      <c r="A87" s="24" t="s">
        <v>153</v>
      </c>
      <c r="B87" s="25">
        <v>65699.0</v>
      </c>
      <c r="C87" s="24">
        <f>(log(Sheet1!C87)-log(min(Sheet1!$C$2:$C$104)))/(log(max(Sheet1!$C$2:$C$104))-log(min(Sheet1!$C$2:$C$104)))</f>
        <v>0.5413609722</v>
      </c>
      <c r="D87" s="24">
        <v>0.8</v>
      </c>
      <c r="E87" s="24">
        <v>0.378</v>
      </c>
      <c r="F87" s="24">
        <v>0.919355</v>
      </c>
      <c r="G87" s="24">
        <v>0.256</v>
      </c>
      <c r="H87" s="24">
        <f>(log(Sheet1!H87)-log(min(Sheet1!$H$2:$H$104)))/(log(max(Sheet1!$H$2:$H$104))-log(min(Sheet1!$H$2:$H$104)))</f>
        <v>0.4700471011</v>
      </c>
      <c r="I87" s="24">
        <f>(log(Sheet1!I87)-log(min(Sheet1!I$2:I$104)))/(log(max(Sheet1!I$2:I$104))-log(min(Sheet1!I$2:I$104)))</f>
        <v>0.5594346308</v>
      </c>
      <c r="J87" s="24">
        <f>(log(Sheet1!J87)-log(min(Sheet1!J$2:J$104)))/(log(max(Sheet1!J$2:J$104))-log(min(Sheet1!J$2:J$104)))</f>
        <v>0.3445810819</v>
      </c>
      <c r="K87" s="24">
        <f>(log(Sheet1!K87)-log(min(Sheet1!K$2:K$104)))/(log(max(Sheet1!K$2:K$104))-log(min(Sheet1!K$2:K$104)))</f>
        <v>0.6653079322</v>
      </c>
      <c r="L87" s="24">
        <f>(log(Sheet1!L87)-log(min(Sheet1!L$2:L$104)))/(log(max(Sheet1!L$2:L$104))-log(min(Sheet1!L$2:L$104)))</f>
        <v>0.4694703856</v>
      </c>
      <c r="M87" s="24">
        <f>(log(Sheet1!M87)-log(min(Sheet1!M$2:M$104)))/(log(max(Sheet1!M$2:M$104))-log(min(Sheet1!M$2:M$104)))</f>
        <v>0.8744171857</v>
      </c>
      <c r="N87" s="24">
        <f>(log(Sheet1!N87)-log(min(Sheet1!N$2:N$104)))/(log(max(Sheet1!N$2:N$104))-log(min(Sheet1!N$2:N$104)))</f>
        <v>0.8659940517</v>
      </c>
      <c r="O87" s="24">
        <f>(log(Sheet1!O87)-log(min(Sheet1!O$2:O$104)))/(log(max(Sheet1!O$2:O$104))-log(min(Sheet1!O$2:O$104)))</f>
        <v>0.1763664797</v>
      </c>
      <c r="P87" s="24">
        <f>(log(Sheet1!P87)-log(min(Sheet1!P$2:P$104)))/(log(max(Sheet1!P$2:P$104))-log(min(Sheet1!P$2:P$104)))</f>
        <v>0.5437114549</v>
      </c>
      <c r="Q87" s="24">
        <f>(log(Sheet1!Q87)-log(min(Sheet1!Q$2:Q$104)))/(log(max(Sheet1!Q$2:Q$104))-log(min(Sheet1!Q$2:Q$104)))</f>
        <v>0.5186821887</v>
      </c>
      <c r="R87" s="24">
        <f>(log(Sheet1!R87)-log(min(Sheet1!R$2:R$104)))/(log(max(Sheet1!R$2:R$104))-log(min(Sheet1!R$2:R$104)))</f>
        <v>0.7969670002</v>
      </c>
      <c r="S87" s="24">
        <f>(log(Sheet1!S87)-log(min(Sheet1!S$2:S$104)))/(log(max(Sheet1!S$2:S$104))-log(min(Sheet1!S$2:S$104)))</f>
        <v>0.5881024538</v>
      </c>
      <c r="T87" s="24">
        <f>(log(Sheet1!T87)-log(min(Sheet1!T$2:T$104)))/(log(max(Sheet1!T$2:T$104))-log(min(Sheet1!T$2:T$104)))</f>
        <v>0.272248797</v>
      </c>
      <c r="U87" s="24">
        <f>(log(Sheet1!U87)-log(min(Sheet1!U$2:U$104)))/(log(max(Sheet1!U$2:U$104))-log(min(Sheet1!U$2:U$104)))</f>
        <v>0.4228365692</v>
      </c>
      <c r="V87" s="24"/>
      <c r="W87" s="24"/>
      <c r="X87" s="24"/>
      <c r="Y87" s="24"/>
      <c r="Z87" s="24"/>
      <c r="AA87" s="24"/>
      <c r="AB87" s="24"/>
    </row>
    <row r="88">
      <c r="A88" s="24" t="s">
        <v>154</v>
      </c>
      <c r="B88" s="25">
        <v>45532.0</v>
      </c>
      <c r="C88" s="24">
        <f>(log(Sheet1!C88)-log(min(Sheet1!$C$2:$C$104)))/(log(max(Sheet1!$C$2:$C$104))-log(min(Sheet1!$C$2:$C$104)))</f>
        <v>0.4565746433</v>
      </c>
      <c r="D88" s="24">
        <v>0.4</v>
      </c>
      <c r="E88" s="24">
        <v>0.205</v>
      </c>
      <c r="F88" s="24">
        <v>0.983871</v>
      </c>
      <c r="G88" s="24">
        <v>0.204</v>
      </c>
      <c r="H88" s="24">
        <f>(log(Sheet1!H88)-log(min(Sheet1!$H$2:$H$104)))/(log(max(Sheet1!$H$2:$H$104))-log(min(Sheet1!$H$2:$H$104)))</f>
        <v>0.4747916451</v>
      </c>
      <c r="I88" s="24">
        <f>(log(Sheet1!I88)-log(min(Sheet1!I$2:I$104)))/(log(max(Sheet1!I$2:I$104))-log(min(Sheet1!I$2:I$104)))</f>
        <v>0.7161988555</v>
      </c>
      <c r="J88" s="24">
        <f>(log(Sheet1!J88)-log(min(Sheet1!J$2:J$104)))/(log(max(Sheet1!J$2:J$104))-log(min(Sheet1!J$2:J$104)))</f>
        <v>0.3085518199</v>
      </c>
      <c r="K88" s="24">
        <f>(log(Sheet1!K88)-log(min(Sheet1!K$2:K$104)))/(log(max(Sheet1!K$2:K$104))-log(min(Sheet1!K$2:K$104)))</f>
        <v>0.8406618655</v>
      </c>
      <c r="L88" s="24">
        <f>(log(Sheet1!L88)-log(min(Sheet1!L$2:L$104)))/(log(max(Sheet1!L$2:L$104))-log(min(Sheet1!L$2:L$104)))</f>
        <v>0.4291141314</v>
      </c>
      <c r="M88" s="24">
        <f>(log(Sheet1!M88)-log(min(Sheet1!M$2:M$104)))/(log(max(Sheet1!M$2:M$104))-log(min(Sheet1!M$2:M$104)))</f>
        <v>0.8369242208</v>
      </c>
      <c r="N88" s="24">
        <f>(log(Sheet1!N88)-log(min(Sheet1!N$2:N$104)))/(log(max(Sheet1!N$2:N$104))-log(min(Sheet1!N$2:N$104)))</f>
        <v>0.7681088313</v>
      </c>
      <c r="O88" s="24">
        <f>(log(Sheet1!O88)-log(min(Sheet1!O$2:O$104)))/(log(max(Sheet1!O$2:O$104))-log(min(Sheet1!O$2:O$104)))</f>
        <v>0.44016491</v>
      </c>
      <c r="P88" s="24">
        <f>(log(Sheet1!P88)-log(min(Sheet1!P$2:P$104)))/(log(max(Sheet1!P$2:P$104))-log(min(Sheet1!P$2:P$104)))</f>
        <v>0.6967809527</v>
      </c>
      <c r="Q88" s="24">
        <f>(log(Sheet1!Q88)-log(min(Sheet1!Q$2:Q$104)))/(log(max(Sheet1!Q$2:Q$104))-log(min(Sheet1!Q$2:Q$104)))</f>
        <v>0.6591176151</v>
      </c>
      <c r="R88" s="24">
        <f>(log(Sheet1!R88)-log(min(Sheet1!R$2:R$104)))/(log(max(Sheet1!R$2:R$104))-log(min(Sheet1!R$2:R$104)))</f>
        <v>0.5872585912</v>
      </c>
      <c r="S88" s="24">
        <f>(log(Sheet1!S88)-log(min(Sheet1!S$2:S$104)))/(log(max(Sheet1!S$2:S$104))-log(min(Sheet1!S$2:S$104)))</f>
        <v>0.5410823886</v>
      </c>
      <c r="T88" s="24">
        <f>(log(Sheet1!T88)-log(min(Sheet1!T$2:T$104)))/(log(max(Sheet1!T$2:T$104))-log(min(Sheet1!T$2:T$104)))</f>
        <v>0.1781679374</v>
      </c>
      <c r="U88" s="24">
        <f>(log(Sheet1!U88)-log(min(Sheet1!U$2:U$104)))/(log(max(Sheet1!U$2:U$104))-log(min(Sheet1!U$2:U$104)))</f>
        <v>0.2519553623</v>
      </c>
      <c r="V88" s="24"/>
      <c r="W88" s="24"/>
      <c r="X88" s="24"/>
      <c r="Y88" s="24"/>
      <c r="Z88" s="24"/>
      <c r="AA88" s="24"/>
      <c r="AB88" s="24"/>
    </row>
    <row r="89">
      <c r="A89" s="24" t="s">
        <v>155</v>
      </c>
      <c r="B89" s="25">
        <v>71462.0</v>
      </c>
      <c r="C89" s="24">
        <f>(log(Sheet1!C89)-log(min(Sheet1!$C$2:$C$104)))/(log(max(Sheet1!$C$2:$C$104))-log(min(Sheet1!$C$2:$C$104)))</f>
        <v>0.5048392985</v>
      </c>
      <c r="D89" s="24">
        <v>0.8</v>
      </c>
      <c r="E89" s="24">
        <v>0.328</v>
      </c>
      <c r="F89" s="24">
        <v>0.919355</v>
      </c>
      <c r="G89" s="24">
        <v>0.261</v>
      </c>
      <c r="H89" s="24">
        <f>(log(Sheet1!H89)-log(min(Sheet1!$H$2:$H$104)))/(log(max(Sheet1!$H$2:$H$104))-log(min(Sheet1!$H$2:$H$104)))</f>
        <v>0.4420696067</v>
      </c>
      <c r="I89" s="24">
        <f>(log(Sheet1!I89)-log(min(Sheet1!I$2:I$104)))/(log(max(Sheet1!I$2:I$104))-log(min(Sheet1!I$2:I$104)))</f>
        <v>0.2966146013</v>
      </c>
      <c r="J89" s="24">
        <f>(log(Sheet1!J89)-log(min(Sheet1!J$2:J$104)))/(log(max(Sheet1!J$2:J$104))-log(min(Sheet1!J$2:J$104)))</f>
        <v>0.3357838187</v>
      </c>
      <c r="K89" s="24">
        <f>(log(Sheet1!K89)-log(min(Sheet1!K$2:K$104)))/(log(max(Sheet1!K$2:K$104))-log(min(Sheet1!K$2:K$104)))</f>
        <v>0.8948368092</v>
      </c>
      <c r="L89" s="24">
        <f>(log(Sheet1!L89)-log(min(Sheet1!L$2:L$104)))/(log(max(Sheet1!L$2:L$104))-log(min(Sheet1!L$2:L$104)))</f>
        <v>0.3747027858</v>
      </c>
      <c r="M89" s="24">
        <f>(log(Sheet1!M89)-log(min(Sheet1!M$2:M$104)))/(log(max(Sheet1!M$2:M$104))-log(min(Sheet1!M$2:M$104)))</f>
        <v>0.8704140258</v>
      </c>
      <c r="N89" s="24">
        <f>(log(Sheet1!N89)-log(min(Sheet1!N$2:N$104)))/(log(max(Sheet1!N$2:N$104))-log(min(Sheet1!N$2:N$104)))</f>
        <v>0.7849551722</v>
      </c>
      <c r="O89" s="24">
        <f>(log(Sheet1!O89)-log(min(Sheet1!O$2:O$104)))/(log(max(Sheet1!O$2:O$104))-log(min(Sheet1!O$2:O$104)))</f>
        <v>0.2955156838</v>
      </c>
      <c r="P89" s="24">
        <f>(log(Sheet1!P89)-log(min(Sheet1!P$2:P$104)))/(log(max(Sheet1!P$2:P$104))-log(min(Sheet1!P$2:P$104)))</f>
        <v>0.4778170374</v>
      </c>
      <c r="Q89" s="24">
        <f>(log(Sheet1!Q89)-log(min(Sheet1!Q$2:Q$104)))/(log(max(Sheet1!Q$2:Q$104))-log(min(Sheet1!Q$2:Q$104)))</f>
        <v>0.4371642196</v>
      </c>
      <c r="R89" s="24">
        <f>(log(Sheet1!R89)-log(min(Sheet1!R$2:R$104)))/(log(max(Sheet1!R$2:R$104))-log(min(Sheet1!R$2:R$104)))</f>
        <v>0.7674362826</v>
      </c>
      <c r="S89" s="24">
        <f>(log(Sheet1!S89)-log(min(Sheet1!S$2:S$104)))/(log(max(Sheet1!S$2:S$104))-log(min(Sheet1!S$2:S$104)))</f>
        <v>0.6538803068</v>
      </c>
      <c r="T89" s="24">
        <f>(log(Sheet1!T89)-log(min(Sheet1!T$2:T$104)))/(log(max(Sheet1!T$2:T$104))-log(min(Sheet1!T$2:T$104)))</f>
        <v>0.3039999993</v>
      </c>
      <c r="U89" s="24">
        <f>(log(Sheet1!U89)-log(min(Sheet1!U$2:U$104)))/(log(max(Sheet1!U$2:U$104))-log(min(Sheet1!U$2:U$104)))</f>
        <v>0.4817385287</v>
      </c>
      <c r="V89" s="24"/>
      <c r="W89" s="24"/>
      <c r="X89" s="24"/>
      <c r="Y89" s="24"/>
      <c r="Z89" s="24"/>
      <c r="AA89" s="24"/>
      <c r="AB89" s="24"/>
    </row>
    <row r="90">
      <c r="A90" s="24" t="s">
        <v>156</v>
      </c>
      <c r="B90" s="25">
        <v>13916.0</v>
      </c>
      <c r="C90" s="24">
        <f>(log(Sheet1!C90)-log(min(Sheet1!$C$2:$C$104)))/(log(max(Sheet1!$C$2:$C$104))-log(min(Sheet1!$C$2:$C$104)))</f>
        <v>0.2173064355</v>
      </c>
      <c r="D90" s="24">
        <v>1.0</v>
      </c>
      <c r="E90" s="24">
        <v>0.548</v>
      </c>
      <c r="F90" s="24">
        <v>0.677419</v>
      </c>
      <c r="G90" s="24">
        <v>0.403</v>
      </c>
      <c r="H90" s="24">
        <f>(log(Sheet1!H90)-log(min(Sheet1!$H$2:$H$104)))/(log(max(Sheet1!$H$2:$H$104))-log(min(Sheet1!$H$2:$H$104)))</f>
        <v>0.6263648236</v>
      </c>
      <c r="I90" s="24">
        <f>(log(Sheet1!I90)-log(min(Sheet1!I$2:I$104)))/(log(max(Sheet1!I$2:I$104))-log(min(Sheet1!I$2:I$104)))</f>
        <v>0.5594346308</v>
      </c>
      <c r="J90" s="24">
        <f>(log(Sheet1!J90)-log(min(Sheet1!J$2:J$104)))/(log(max(Sheet1!J$2:J$104))-log(min(Sheet1!J$2:J$104)))</f>
        <v>0.3893473921</v>
      </c>
      <c r="K90" s="24">
        <f>(log(Sheet1!K90)-log(min(Sheet1!K$2:K$104)))/(log(max(Sheet1!K$2:K$104))-log(min(Sheet1!K$2:K$104)))</f>
        <v>0.9989952864</v>
      </c>
      <c r="L90" s="24">
        <f>(log(Sheet1!L90)-log(min(Sheet1!L$2:L$104)))/(log(max(Sheet1!L$2:L$104))-log(min(Sheet1!L$2:L$104)))</f>
        <v>0.4982788724</v>
      </c>
      <c r="M90" s="24">
        <f>(log(Sheet1!M90)-log(min(Sheet1!M$2:M$104)))/(log(max(Sheet1!M$2:M$104))-log(min(Sheet1!M$2:M$104)))</f>
        <v>0.4504256397</v>
      </c>
      <c r="N90" s="24">
        <f>(log(Sheet1!N90)-log(min(Sheet1!N$2:N$104)))/(log(max(Sheet1!N$2:N$104))-log(min(Sheet1!N$2:N$104)))</f>
        <v>0.5053202691</v>
      </c>
      <c r="O90" s="24">
        <f>(log(Sheet1!O90)-log(min(Sheet1!O$2:O$104)))/(log(max(Sheet1!O$2:O$104))-log(min(Sheet1!O$2:O$104)))</f>
        <v>0.2172126083</v>
      </c>
      <c r="P90" s="24">
        <f>(log(Sheet1!P90)-log(min(Sheet1!P$2:P$104)))/(log(max(Sheet1!P$2:P$104))-log(min(Sheet1!P$2:P$104)))</f>
        <v>0.9590500591</v>
      </c>
      <c r="Q90" s="24">
        <f>(log(Sheet1!Q90)-log(min(Sheet1!Q$2:Q$104)))/(log(max(Sheet1!Q$2:Q$104))-log(min(Sheet1!Q$2:Q$104)))</f>
        <v>0</v>
      </c>
      <c r="R90" s="24">
        <f>(log(Sheet1!R90)-log(min(Sheet1!R$2:R$104)))/(log(max(Sheet1!R$2:R$104))-log(min(Sheet1!R$2:R$104)))</f>
        <v>0.6825725438</v>
      </c>
      <c r="S90" s="24">
        <f>(log(Sheet1!S90)-log(min(Sheet1!S$2:S$104)))/(log(max(Sheet1!S$2:S$104))-log(min(Sheet1!S$2:S$104)))</f>
        <v>0.7124945006</v>
      </c>
      <c r="T90" s="24">
        <f>(log(Sheet1!T90)-log(min(Sheet1!T$2:T$104)))/(log(max(Sheet1!T$2:T$104))-log(min(Sheet1!T$2:T$104)))</f>
        <v>0.2580379831</v>
      </c>
      <c r="U90" s="24">
        <f>(log(Sheet1!U90)-log(min(Sheet1!U$2:U$104)))/(log(max(Sheet1!U$2:U$104))-log(min(Sheet1!U$2:U$104)))</f>
        <v>0.5983746733</v>
      </c>
      <c r="V90" s="24"/>
      <c r="W90" s="24"/>
      <c r="X90" s="24"/>
      <c r="Y90" s="24"/>
      <c r="Z90" s="24"/>
      <c r="AA90" s="24"/>
      <c r="AB90" s="24"/>
    </row>
    <row r="91">
      <c r="A91" s="24" t="s">
        <v>157</v>
      </c>
      <c r="B91" s="25">
        <v>33549.0</v>
      </c>
      <c r="C91" s="24">
        <f>(log(Sheet1!C91)-log(min(Sheet1!$C$2:$C$104)))/(log(max(Sheet1!$C$2:$C$104))-log(min(Sheet1!$C$2:$C$104)))</f>
        <v>0.4320078011</v>
      </c>
      <c r="D91" s="24">
        <v>0.8</v>
      </c>
      <c r="E91" s="24">
        <v>0.246</v>
      </c>
      <c r="F91" s="24">
        <v>0.612903</v>
      </c>
      <c r="G91" s="24">
        <v>0.474</v>
      </c>
      <c r="H91" s="24">
        <f>(log(Sheet1!H91)-log(min(Sheet1!$H$2:$H$104)))/(log(max(Sheet1!$H$2:$H$104))-log(min(Sheet1!$H$2:$H$104)))</f>
        <v>0.8819118213</v>
      </c>
      <c r="I91" s="24">
        <f>(log(Sheet1!I91)-log(min(Sheet1!I$2:I$104)))/(log(max(Sheet1!I$2:I$104))-log(min(Sheet1!I$2:I$104)))</f>
        <v>0.9265993108</v>
      </c>
      <c r="J91" s="24">
        <f>(log(Sheet1!J91)-log(min(Sheet1!J$2:J$104)))/(log(max(Sheet1!J$2:J$104))-log(min(Sheet1!J$2:J$104)))</f>
        <v>0.7301865238</v>
      </c>
      <c r="K91" s="24">
        <f>(log(Sheet1!K91)-log(min(Sheet1!K$2:K$104)))/(log(max(Sheet1!K$2:K$104))-log(min(Sheet1!K$2:K$104)))</f>
        <v>0.9819575119</v>
      </c>
      <c r="L91" s="24">
        <f>(log(Sheet1!L91)-log(min(Sheet1!L$2:L$104)))/(log(max(Sheet1!L$2:L$104))-log(min(Sheet1!L$2:L$104)))</f>
        <v>0.2930978273</v>
      </c>
      <c r="M91" s="24">
        <f>(log(Sheet1!M91)-log(min(Sheet1!M$2:M$104)))/(log(max(Sheet1!M$2:M$104))-log(min(Sheet1!M$2:M$104)))</f>
        <v>0.5877829798</v>
      </c>
      <c r="N91" s="24">
        <f>(log(Sheet1!N91)-log(min(Sheet1!N$2:N$104)))/(log(max(Sheet1!N$2:N$104))-log(min(Sheet1!N$2:N$104)))</f>
        <v>0.4411782675</v>
      </c>
      <c r="O91" s="24">
        <f>(log(Sheet1!O91)-log(min(Sheet1!O$2:O$104)))/(log(max(Sheet1!O$2:O$104))-log(min(Sheet1!O$2:O$104)))</f>
        <v>0.2955156838</v>
      </c>
      <c r="P91" s="24">
        <f>(log(Sheet1!P91)-log(min(Sheet1!P$2:P$104)))/(log(max(Sheet1!P$2:P$104))-log(min(Sheet1!P$2:P$104)))</f>
        <v>0.5663879396</v>
      </c>
      <c r="Q91" s="24">
        <f>(log(Sheet1!Q91)-log(min(Sheet1!Q$2:Q$104)))/(log(max(Sheet1!Q$2:Q$104))-log(min(Sheet1!Q$2:Q$104)))</f>
        <v>0.4593746747</v>
      </c>
      <c r="R91" s="24">
        <f>(log(Sheet1!R91)-log(min(Sheet1!R$2:R$104)))/(log(max(Sheet1!R$2:R$104))-log(min(Sheet1!R$2:R$104)))</f>
        <v>0.8861072971</v>
      </c>
      <c r="S91" s="24">
        <f>(log(Sheet1!S91)-log(min(Sheet1!S$2:S$104)))/(log(max(Sheet1!S$2:S$104))-log(min(Sheet1!S$2:S$104)))</f>
        <v>0.4598169473</v>
      </c>
      <c r="T91" s="24">
        <f>(log(Sheet1!T91)-log(min(Sheet1!T$2:T$104)))/(log(max(Sheet1!T$2:T$104))-log(min(Sheet1!T$2:T$104)))</f>
        <v>0.2427735858</v>
      </c>
      <c r="U91" s="24">
        <f>(log(Sheet1!U91)-log(min(Sheet1!U$2:U$104)))/(log(max(Sheet1!U$2:U$104))-log(min(Sheet1!U$2:U$104)))</f>
        <v>0.3861660671</v>
      </c>
      <c r="V91" s="24"/>
      <c r="W91" s="24"/>
      <c r="X91" s="24"/>
      <c r="Y91" s="24"/>
      <c r="Z91" s="24"/>
      <c r="AA91" s="24"/>
      <c r="AB91" s="24"/>
    </row>
    <row r="92">
      <c r="A92" s="24" t="s">
        <v>158</v>
      </c>
      <c r="B92" s="25">
        <v>3461.0</v>
      </c>
      <c r="C92" s="24">
        <f>(log(Sheet1!C92)-log(min(Sheet1!$C$2:$C$104)))/(log(max(Sheet1!$C$2:$C$104))-log(min(Sheet1!$C$2:$C$104)))</f>
        <v>0.02991619323</v>
      </c>
      <c r="D92" s="24">
        <v>1.0</v>
      </c>
      <c r="E92" s="24">
        <v>0.574</v>
      </c>
      <c r="F92" s="24">
        <v>0.66129</v>
      </c>
      <c r="G92" s="24">
        <v>0.188</v>
      </c>
      <c r="H92" s="24">
        <f>(log(Sheet1!H92)-log(min(Sheet1!$H$2:$H$104)))/(log(max(Sheet1!$H$2:$H$104))-log(min(Sheet1!$H$2:$H$104)))</f>
        <v>0.5442571745</v>
      </c>
      <c r="I92" s="24">
        <f>(log(Sheet1!I92)-log(min(Sheet1!I$2:I$104)))/(log(max(Sheet1!I$2:I$104))-log(min(Sheet1!I$2:I$104)))</f>
        <v>0.169024995</v>
      </c>
      <c r="J92" s="24">
        <f>(log(Sheet1!J92)-log(min(Sheet1!J$2:J$104)))/(log(max(Sheet1!J$2:J$104))-log(min(Sheet1!J$2:J$104)))</f>
        <v>0.1767420998</v>
      </c>
      <c r="K92" s="24">
        <f>(log(Sheet1!K92)-log(min(Sheet1!K$2:K$104)))/(log(max(Sheet1!K$2:K$104))-log(min(Sheet1!K$2:K$104)))</f>
        <v>0</v>
      </c>
      <c r="L92" s="24">
        <f>(log(Sheet1!L92)-log(min(Sheet1!L$2:L$104)))/(log(max(Sheet1!L$2:L$104))-log(min(Sheet1!L$2:L$104)))</f>
        <v>0.8065361177</v>
      </c>
      <c r="M92" s="24">
        <f>(log(Sheet1!M92)-log(min(Sheet1!M$2:M$104)))/(log(max(Sheet1!M$2:M$104))-log(min(Sheet1!M$2:M$104)))</f>
        <v>0.8058342134</v>
      </c>
      <c r="N92" s="24">
        <f>(log(Sheet1!N92)-log(min(Sheet1!N$2:N$104)))/(log(max(Sheet1!N$2:N$104))-log(min(Sheet1!N$2:N$104)))</f>
        <v>0.3265168769</v>
      </c>
      <c r="O92" s="24">
        <f>(log(Sheet1!O92)-log(min(Sheet1!O$2:O$104)))/(log(max(Sheet1!O$2:O$104))-log(min(Sheet1!O$2:O$104)))</f>
        <v>0.5072772494</v>
      </c>
      <c r="P92" s="24">
        <f>(log(Sheet1!P92)-log(min(Sheet1!P$2:P$104)))/(log(max(Sheet1!P$2:P$104))-log(min(Sheet1!P$2:P$104)))</f>
        <v>1</v>
      </c>
      <c r="Q92" s="24">
        <f>(log(Sheet1!Q92)-log(min(Sheet1!Q$2:Q$104)))/(log(max(Sheet1!Q$2:Q$104))-log(min(Sheet1!Q$2:Q$104)))</f>
        <v>0.7106222151</v>
      </c>
      <c r="R92" s="24">
        <f>(log(Sheet1!R92)-log(min(Sheet1!R$2:R$104)))/(log(max(Sheet1!R$2:R$104))-log(min(Sheet1!R$2:R$104)))</f>
        <v>0.3291308926</v>
      </c>
      <c r="S92" s="24">
        <f>(log(Sheet1!S92)-log(min(Sheet1!S$2:S$104)))/(log(max(Sheet1!S$2:S$104))-log(min(Sheet1!S$2:S$104)))</f>
        <v>0.7268485659</v>
      </c>
      <c r="T92" s="24">
        <f>(log(Sheet1!T92)-log(min(Sheet1!T$2:T$104)))/(log(max(Sheet1!T$2:T$104))-log(min(Sheet1!T$2:T$104)))</f>
        <v>0.3039999993</v>
      </c>
      <c r="U92" s="24">
        <f>(log(Sheet1!U92)-log(min(Sheet1!U$2:U$104)))/(log(max(Sheet1!U$2:U$104))-log(min(Sheet1!U$2:U$104)))</f>
        <v>0.3015944234</v>
      </c>
      <c r="V92" s="24"/>
      <c r="W92" s="24"/>
      <c r="X92" s="24"/>
      <c r="Y92" s="24"/>
      <c r="Z92" s="24"/>
      <c r="AA92" s="24"/>
      <c r="AB92" s="24"/>
    </row>
    <row r="93">
      <c r="A93" s="24" t="s">
        <v>159</v>
      </c>
      <c r="B93" s="25">
        <v>256452.0</v>
      </c>
      <c r="C93" s="24">
        <f>(log(Sheet1!C93)-log(min(Sheet1!$C$2:$C$104)))/(log(max(Sheet1!$C$2:$C$104))-log(min(Sheet1!$C$2:$C$104)))</f>
        <v>0.7085838403</v>
      </c>
      <c r="D93" s="24">
        <v>0.2</v>
      </c>
      <c r="E93" s="24">
        <v>0.511</v>
      </c>
      <c r="F93" s="24">
        <v>0.693548</v>
      </c>
      <c r="G93" s="24">
        <v>0.646</v>
      </c>
      <c r="H93" s="24">
        <f>(log(Sheet1!H93)-log(min(Sheet1!$H$2:$H$104)))/(log(max(Sheet1!$H$2:$H$104))-log(min(Sheet1!$H$2:$H$104)))</f>
        <v>0.6975830479</v>
      </c>
      <c r="I93" s="24">
        <f>(log(Sheet1!I93)-log(min(Sheet1!I$2:I$104)))/(log(max(Sheet1!I$2:I$104))-log(min(Sheet1!I$2:I$104)))</f>
        <v>0.7436778827</v>
      </c>
      <c r="J93" s="24">
        <f>(log(Sheet1!J93)-log(min(Sheet1!J$2:J$104)))/(log(max(Sheet1!J$2:J$104))-log(min(Sheet1!J$2:J$104)))</f>
        <v>0.7360966491</v>
      </c>
      <c r="K93" s="24">
        <f>(log(Sheet1!K93)-log(min(Sheet1!K$2:K$104)))/(log(max(Sheet1!K$2:K$104))-log(min(Sheet1!K$2:K$104)))</f>
        <v>0.6427717506</v>
      </c>
      <c r="L93" s="24">
        <f>(log(Sheet1!L93)-log(min(Sheet1!L$2:L$104)))/(log(max(Sheet1!L$2:L$104))-log(min(Sheet1!L$2:L$104)))</f>
        <v>0.4477219555</v>
      </c>
      <c r="M93" s="24">
        <f>(log(Sheet1!M93)-log(min(Sheet1!M$2:M$104)))/(log(max(Sheet1!M$2:M$104))-log(min(Sheet1!M$2:M$104)))</f>
        <v>0.9591139456</v>
      </c>
      <c r="N93" s="24">
        <f>(log(Sheet1!N93)-log(min(Sheet1!N$2:N$104)))/(log(max(Sheet1!N$2:N$104))-log(min(Sheet1!N$2:N$104)))</f>
        <v>0.8659940517</v>
      </c>
      <c r="O93" s="24">
        <f>(log(Sheet1!O93)-log(min(Sheet1!O$2:O$104)))/(log(max(Sheet1!O$2:O$104))-log(min(Sheet1!O$2:O$104)))</f>
        <v>0.2569079874</v>
      </c>
      <c r="P93" s="24">
        <f>(log(Sheet1!P93)-log(min(Sheet1!P$2:P$104)))/(log(max(Sheet1!P$2:P$104))-log(min(Sheet1!P$2:P$104)))</f>
        <v>0.4105198116</v>
      </c>
      <c r="Q93" s="24">
        <f>(log(Sheet1!Q93)-log(min(Sheet1!Q$2:Q$104)))/(log(max(Sheet1!Q$2:Q$104))-log(min(Sheet1!Q$2:Q$104)))</f>
        <v>0.6780684055</v>
      </c>
      <c r="R93" s="24">
        <f>(log(Sheet1!R93)-log(min(Sheet1!R$2:R$104)))/(log(max(Sheet1!R$2:R$104))-log(min(Sheet1!R$2:R$104)))</f>
        <v>0.621577757</v>
      </c>
      <c r="S93" s="24">
        <f>(log(Sheet1!S93)-log(min(Sheet1!S$2:S$104)))/(log(max(Sheet1!S$2:S$104))-log(min(Sheet1!S$2:S$104)))</f>
        <v>0.4542637208</v>
      </c>
      <c r="T93" s="24">
        <f>(log(Sheet1!T93)-log(min(Sheet1!T$2:T$104)))/(log(max(Sheet1!T$2:T$104))-log(min(Sheet1!T$2:T$104)))</f>
        <v>0.1781679374</v>
      </c>
      <c r="U93" s="24">
        <f>(log(Sheet1!U93)-log(min(Sheet1!U$2:U$104)))/(log(max(Sheet1!U$2:U$104))-log(min(Sheet1!U$2:U$104)))</f>
        <v>0.2190988673</v>
      </c>
      <c r="V93" s="24"/>
      <c r="W93" s="24"/>
      <c r="X93" s="24"/>
      <c r="Y93" s="24"/>
      <c r="Z93" s="24"/>
      <c r="AA93" s="24"/>
      <c r="AB93" s="24"/>
    </row>
    <row r="94">
      <c r="A94" s="24" t="s">
        <v>160</v>
      </c>
      <c r="B94" s="25">
        <v>42301.0</v>
      </c>
      <c r="C94" s="24">
        <f>(log(Sheet1!C94)-log(min(Sheet1!$C$2:$C$104)))/(log(max(Sheet1!$C$2:$C$104))-log(min(Sheet1!$C$2:$C$104)))</f>
        <v>0.5386015216</v>
      </c>
      <c r="D94" s="24">
        <v>0.8</v>
      </c>
      <c r="E94" s="24">
        <v>0.601</v>
      </c>
      <c r="F94" s="24">
        <v>0.354839</v>
      </c>
      <c r="G94" s="24">
        <v>0.134</v>
      </c>
      <c r="H94" s="24">
        <f>(log(Sheet1!H94)-log(min(Sheet1!$H$2:$H$104)))/(log(max(Sheet1!$H$2:$H$104))-log(min(Sheet1!$H$2:$H$104)))</f>
        <v>0.4182042696</v>
      </c>
      <c r="I94" s="24">
        <f>(log(Sheet1!I94)-log(min(Sheet1!I$2:I$104)))/(log(max(Sheet1!I$2:I$104))-log(min(Sheet1!I$2:I$104)))</f>
        <v>0.4617784254</v>
      </c>
      <c r="J94" s="24">
        <f>(log(Sheet1!J94)-log(min(Sheet1!J$2:J$104)))/(log(max(Sheet1!J$2:J$104))-log(min(Sheet1!J$2:J$104)))</f>
        <v>0.3085518199</v>
      </c>
      <c r="K94" s="24">
        <f>(log(Sheet1!K94)-log(min(Sheet1!K$2:K$104)))/(log(max(Sheet1!K$2:K$104))-log(min(Sheet1!K$2:K$104)))</f>
        <v>0.587926182</v>
      </c>
      <c r="L94" s="24">
        <f>(log(Sheet1!L94)-log(min(Sheet1!L$2:L$104)))/(log(max(Sheet1!L$2:L$104))-log(min(Sheet1!L$2:L$104)))</f>
        <v>0.5263259585</v>
      </c>
      <c r="M94" s="24">
        <f>(log(Sheet1!M94)-log(min(Sheet1!M$2:M$104)))/(log(max(Sheet1!M$2:M$104))-log(min(Sheet1!M$2:M$104)))</f>
        <v>0.7405948222</v>
      </c>
      <c r="N94" s="24">
        <f>(log(Sheet1!N94)-log(min(Sheet1!N$2:N$104)))/(log(max(Sheet1!N$2:N$104))-log(min(Sheet1!N$2:N$104)))</f>
        <v>0.6803581677</v>
      </c>
      <c r="O94" s="24">
        <f>(log(Sheet1!O94)-log(min(Sheet1!O$2:O$104)))/(log(max(Sheet1!O$2:O$104))-log(min(Sheet1!O$2:O$104)))</f>
        <v>0.691333204</v>
      </c>
      <c r="P94" s="24">
        <f>(log(Sheet1!P94)-log(min(Sheet1!P$2:P$104)))/(log(max(Sheet1!P$2:P$104))-log(min(Sheet1!P$2:P$104)))</f>
        <v>0.5766168217</v>
      </c>
      <c r="Q94" s="24">
        <f>(log(Sheet1!Q94)-log(min(Sheet1!Q$2:Q$104)))/(log(max(Sheet1!Q$2:Q$104))-log(min(Sheet1!Q$2:Q$104)))</f>
        <v>0.3741869776</v>
      </c>
      <c r="R94" s="24">
        <f>(log(Sheet1!R94)-log(min(Sheet1!R$2:R$104)))/(log(max(Sheet1!R$2:R$104))-log(min(Sheet1!R$2:R$104)))</f>
        <v>0.5872585912</v>
      </c>
      <c r="S94" s="24">
        <f>(log(Sheet1!S94)-log(min(Sheet1!S$2:S$104)))/(log(max(Sheet1!S$2:S$104))-log(min(Sheet1!S$2:S$104)))</f>
        <v>0.9078430273</v>
      </c>
      <c r="T94" s="24">
        <f>(log(Sheet1!T94)-log(min(Sheet1!T$2:T$104)))/(log(max(Sheet1!T$2:T$104))-log(min(Sheet1!T$2:T$104)))</f>
        <v>0.188733079</v>
      </c>
      <c r="U94" s="24">
        <f>(log(Sheet1!U94)-log(min(Sheet1!U$2:U$104)))/(log(max(Sheet1!U$2:U$104))-log(min(Sheet1!U$2:U$104)))</f>
        <v>0.2921233527</v>
      </c>
      <c r="V94" s="24"/>
      <c r="W94" s="24"/>
      <c r="X94" s="24"/>
      <c r="Y94" s="24"/>
      <c r="Z94" s="24"/>
      <c r="AA94" s="24"/>
      <c r="AB94" s="24"/>
    </row>
    <row r="95">
      <c r="A95" s="27" t="s">
        <v>162</v>
      </c>
      <c r="B95" s="28">
        <v>650000.0</v>
      </c>
      <c r="C95" s="24">
        <f>(log(Sheet1!C95)-log(min(Sheet1!$C$2:$C$104)))/(log(max(Sheet1!$C$2:$C$104))-log(min(Sheet1!$C$2:$C$104)))</f>
        <v>0.9243023099</v>
      </c>
      <c r="D95" s="24">
        <v>0.0</v>
      </c>
      <c r="E95" s="24">
        <v>0.619</v>
      </c>
      <c r="F95" s="24">
        <v>0.290323</v>
      </c>
      <c r="G95" s="24">
        <v>0.949</v>
      </c>
      <c r="H95" s="24">
        <f>(log(Sheet1!H95)-log(min(Sheet1!$H$2:$H$104)))/(log(max(Sheet1!$H$2:$H$104))-log(min(Sheet1!$H$2:$H$104)))</f>
        <v>0.7310332278</v>
      </c>
      <c r="I95" s="24">
        <f>(log(Sheet1!I95)-log(min(Sheet1!I$2:I$104)))/(log(max(Sheet1!I$2:I$104))-log(min(Sheet1!I$2:I$104)))</f>
        <v>0.9371519365</v>
      </c>
      <c r="J95" s="24">
        <f>(log(Sheet1!J95)-log(min(Sheet1!J$2:J$104)))/(log(max(Sheet1!J$2:J$104))-log(min(Sheet1!J$2:J$104)))</f>
        <v>0.9465655155</v>
      </c>
      <c r="K95" s="24">
        <f>(log(Sheet1!K95)-log(min(Sheet1!K$2:K$104)))/(log(max(Sheet1!K$2:K$104))-log(min(Sheet1!K$2:K$104)))</f>
        <v>0.5801114693</v>
      </c>
      <c r="L95" s="24">
        <f>(log(Sheet1!L95)-log(min(Sheet1!L$2:L$104)))/(log(max(Sheet1!L$2:L$104))-log(min(Sheet1!L$2:L$104)))</f>
        <v>0.5600049242</v>
      </c>
      <c r="M95" s="24">
        <f>(log(Sheet1!M95)-log(min(Sheet1!M$2:M$104)))/(log(max(Sheet1!M$2:M$104))-log(min(Sheet1!M$2:M$104)))</f>
        <v>0.8029247277</v>
      </c>
      <c r="N95" s="24">
        <f>(log(Sheet1!N95)-log(min(Sheet1!N$2:N$104)))/(log(max(Sheet1!N$2:N$104))-log(min(Sheet1!N$2:N$104)))</f>
        <v>1</v>
      </c>
      <c r="O95" s="24">
        <f>(log(Sheet1!O95)-log(min(Sheet1!O$2:O$104)))/(log(max(Sheet1!O$2:O$104))-log(min(Sheet1!O$2:O$104)))</f>
        <v>0.2172126083</v>
      </c>
      <c r="P95" s="24">
        <f>(log(Sheet1!P95)-log(min(Sheet1!P$2:P$104)))/(log(max(Sheet1!P$2:P$104))-log(min(Sheet1!P$2:P$104)))</f>
        <v>0</v>
      </c>
      <c r="Q95" s="24">
        <f>(log(Sheet1!Q95)-log(min(Sheet1!Q$2:Q$104)))/(log(max(Sheet1!Q$2:Q$104))-log(min(Sheet1!Q$2:Q$104)))</f>
        <v>0.4538552884</v>
      </c>
      <c r="R95" s="24">
        <f>(log(Sheet1!R95)-log(min(Sheet1!R$2:R$104)))/(log(max(Sheet1!R$2:R$104))-log(min(Sheet1!R$2:R$104)))</f>
        <v>0.9494879921</v>
      </c>
      <c r="S95" s="24">
        <f>(log(Sheet1!S95)-log(min(Sheet1!S$2:S$104)))/(log(max(Sheet1!S$2:S$104))-log(min(Sheet1!S$2:S$104)))</f>
        <v>0.09115717231</v>
      </c>
      <c r="T95" s="24">
        <f>(log(Sheet1!T95)-log(min(Sheet1!T$2:T$104)))/(log(max(Sheet1!T$2:T$104))-log(min(Sheet1!T$2:T$104)))</f>
        <v>0.2262867807</v>
      </c>
      <c r="U95" s="24">
        <f>(log(Sheet1!U95)-log(min(Sheet1!U$2:U$104)))/(log(max(Sheet1!U$2:U$104))-log(min(Sheet1!U$2:U$104)))</f>
        <v>0.4228365692</v>
      </c>
      <c r="V95" s="24"/>
      <c r="W95" s="24"/>
      <c r="X95" s="24"/>
      <c r="Y95" s="24"/>
      <c r="Z95" s="24"/>
      <c r="AA95" s="24"/>
      <c r="AB95" s="24"/>
    </row>
    <row r="96">
      <c r="A96" s="27" t="s">
        <v>163</v>
      </c>
      <c r="B96" s="28">
        <v>540000.0</v>
      </c>
      <c r="C96" s="24">
        <f>(log(Sheet1!C96)-log(min(Sheet1!$C$2:$C$104)))/(log(max(Sheet1!$C$2:$C$104))-log(min(Sheet1!$C$2:$C$104)))</f>
        <v>0.9243023099</v>
      </c>
      <c r="D96" s="24">
        <v>0.0</v>
      </c>
      <c r="E96" s="24">
        <v>0.619</v>
      </c>
      <c r="F96" s="24">
        <v>0.290323</v>
      </c>
      <c r="G96" s="24">
        <v>0.949</v>
      </c>
      <c r="H96" s="24">
        <f>(log(Sheet1!H96)-log(min(Sheet1!$H$2:$H$104)))/(log(max(Sheet1!$H$2:$H$104))-log(min(Sheet1!$H$2:$H$104)))</f>
        <v>0.7310332278</v>
      </c>
      <c r="I96" s="24">
        <f>(log(Sheet1!I96)-log(min(Sheet1!I$2:I$104)))/(log(max(Sheet1!I$2:I$104))-log(min(Sheet1!I$2:I$104)))</f>
        <v>0.9371519365</v>
      </c>
      <c r="J96" s="24">
        <f>(log(Sheet1!J96)-log(min(Sheet1!J$2:J$104)))/(log(max(Sheet1!J$2:J$104))-log(min(Sheet1!J$2:J$104)))</f>
        <v>0.9465655155</v>
      </c>
      <c r="K96" s="24">
        <f>(log(Sheet1!K96)-log(min(Sheet1!K$2:K$104)))/(log(max(Sheet1!K$2:K$104))-log(min(Sheet1!K$2:K$104)))</f>
        <v>0.5801114693</v>
      </c>
      <c r="L96" s="24">
        <f>(log(Sheet1!L96)-log(min(Sheet1!L$2:L$104)))/(log(max(Sheet1!L$2:L$104))-log(min(Sheet1!L$2:L$104)))</f>
        <v>0.5600049242</v>
      </c>
      <c r="M96" s="24">
        <f>(log(Sheet1!M96)-log(min(Sheet1!M$2:M$104)))/(log(max(Sheet1!M$2:M$104))-log(min(Sheet1!M$2:M$104)))</f>
        <v>0.8029247277</v>
      </c>
      <c r="N96" s="24">
        <f>(log(Sheet1!N96)-log(min(Sheet1!N$2:N$104)))/(log(max(Sheet1!N$2:N$104))-log(min(Sheet1!N$2:N$104)))</f>
        <v>1</v>
      </c>
      <c r="O96" s="24">
        <f>(log(Sheet1!O96)-log(min(Sheet1!O$2:O$104)))/(log(max(Sheet1!O$2:O$104))-log(min(Sheet1!O$2:O$104)))</f>
        <v>0.2172126083</v>
      </c>
      <c r="P96" s="24">
        <f>(log(Sheet1!P96)-log(min(Sheet1!P$2:P$104)))/(log(max(Sheet1!P$2:P$104))-log(min(Sheet1!P$2:P$104)))</f>
        <v>0</v>
      </c>
      <c r="Q96" s="24">
        <f>(log(Sheet1!Q96)-log(min(Sheet1!Q$2:Q$104)))/(log(max(Sheet1!Q$2:Q$104))-log(min(Sheet1!Q$2:Q$104)))</f>
        <v>0.4538552884</v>
      </c>
      <c r="R96" s="24">
        <f>(log(Sheet1!R96)-log(min(Sheet1!R$2:R$104)))/(log(max(Sheet1!R$2:R$104))-log(min(Sheet1!R$2:R$104)))</f>
        <v>0.9494879921</v>
      </c>
      <c r="S96" s="24">
        <f>(log(Sheet1!S96)-log(min(Sheet1!S$2:S$104)))/(log(max(Sheet1!S$2:S$104))-log(min(Sheet1!S$2:S$104)))</f>
        <v>0.09115717231</v>
      </c>
      <c r="T96" s="24">
        <f>(log(Sheet1!T96)-log(min(Sheet1!T$2:T$104)))/(log(max(Sheet1!T$2:T$104))-log(min(Sheet1!T$2:T$104)))</f>
        <v>0.2262867807</v>
      </c>
      <c r="U96" s="24">
        <f>(log(Sheet1!U96)-log(min(Sheet1!U$2:U$104)))/(log(max(Sheet1!U$2:U$104))-log(min(Sheet1!U$2:U$104)))</f>
        <v>0.4228365692</v>
      </c>
      <c r="V96" s="24"/>
      <c r="W96" s="24"/>
      <c r="X96" s="24"/>
      <c r="Y96" s="24"/>
      <c r="Z96" s="24"/>
      <c r="AA96" s="24"/>
      <c r="AB96" s="24"/>
    </row>
    <row r="97">
      <c r="A97" s="24" t="s">
        <v>164</v>
      </c>
      <c r="B97" s="25">
        <v>18836.0</v>
      </c>
      <c r="C97" s="24">
        <f>(log(Sheet1!C97)-log(min(Sheet1!$C$2:$C$104)))/(log(max(Sheet1!$C$2:$C$104))-log(min(Sheet1!$C$2:$C$104)))</f>
        <v>0.3076695739</v>
      </c>
      <c r="D97" s="24">
        <v>1.0</v>
      </c>
      <c r="E97" s="24">
        <v>0.61</v>
      </c>
      <c r="F97" s="24">
        <v>0.306452</v>
      </c>
      <c r="G97" s="24">
        <v>0.0</v>
      </c>
      <c r="H97" s="24">
        <f>(log(Sheet1!H97)-log(min(Sheet1!$H$2:$H$104)))/(log(max(Sheet1!$H$2:$H$104))-log(min(Sheet1!$H$2:$H$104)))</f>
        <v>0.5644650645</v>
      </c>
      <c r="I97" s="24">
        <f>(log(Sheet1!I97)-log(min(Sheet1!I$2:I$104)))/(log(max(Sheet1!I$2:I$104))-log(min(Sheet1!I$2:I$104)))</f>
        <v>0.53662927</v>
      </c>
      <c r="J97" s="24">
        <f>(log(Sheet1!J97)-log(min(Sheet1!J$2:J$104)))/(log(max(Sheet1!J$2:J$104))-log(min(Sheet1!J$2:J$104)))</f>
        <v>0.3238401144</v>
      </c>
      <c r="K97" s="24">
        <f>(log(Sheet1!K97)-log(min(Sheet1!K$2:K$104)))/(log(max(Sheet1!K$2:K$104))-log(min(Sheet1!K$2:K$104)))</f>
        <v>0.5591610631</v>
      </c>
      <c r="L97" s="24">
        <f>(log(Sheet1!L97)-log(min(Sheet1!L$2:L$104)))/(log(max(Sheet1!L$2:L$104))-log(min(Sheet1!L$2:L$104)))</f>
        <v>0.5193936319</v>
      </c>
      <c r="M97" s="24">
        <f>(log(Sheet1!M97)-log(min(Sheet1!M$2:M$104)))/(log(max(Sheet1!M$2:M$104))-log(min(Sheet1!M$2:M$104)))</f>
        <v>0.8056500452</v>
      </c>
      <c r="N97" s="24">
        <f>(log(Sheet1!N97)-log(min(Sheet1!N$2:N$104)))/(log(max(Sheet1!N$2:N$104))-log(min(Sheet1!N$2:N$104)))</f>
        <v>0.6246464814</v>
      </c>
      <c r="O97" s="24">
        <f>(log(Sheet1!O97)-log(min(Sheet1!O$2:O$104)))/(log(max(Sheet1!O$2:O$104))-log(min(Sheet1!O$2:O$104)))</f>
        <v>0.7750663161</v>
      </c>
      <c r="P97" s="24">
        <f>(log(Sheet1!P97)-log(min(Sheet1!P$2:P$104)))/(log(max(Sheet1!P$2:P$104))-log(min(Sheet1!P$2:P$104)))</f>
        <v>0.8386284903</v>
      </c>
      <c r="Q97" s="24">
        <f>(log(Sheet1!Q97)-log(min(Sheet1!Q$2:Q$104)))/(log(max(Sheet1!Q$2:Q$104))-log(min(Sheet1!Q$2:Q$104)))</f>
        <v>0.6253181476</v>
      </c>
      <c r="R97" s="24">
        <f>(log(Sheet1!R97)-log(min(Sheet1!R$2:R$104)))/(log(max(Sheet1!R$2:R$104))-log(min(Sheet1!R$2:R$104)))</f>
        <v>0.621577757</v>
      </c>
      <c r="S97" s="24">
        <f>(log(Sheet1!S97)-log(min(Sheet1!S$2:S$104)))/(log(max(Sheet1!S$2:S$104))-log(min(Sheet1!S$2:S$104)))</f>
        <v>0.9121381523</v>
      </c>
      <c r="T97" s="24">
        <f>(log(Sheet1!T97)-log(min(Sheet1!T$2:T$104)))/(log(max(Sheet1!T$2:T$104))-log(min(Sheet1!T$2:T$104)))</f>
        <v>0.1427710628</v>
      </c>
      <c r="U97" s="24">
        <f>(log(Sheet1!U97)-log(min(Sheet1!U$2:U$104)))/(log(max(Sheet1!U$2:U$104))-log(min(Sheet1!U$2:U$104)))</f>
        <v>0.2921233527</v>
      </c>
      <c r="V97" s="24"/>
      <c r="W97" s="24"/>
      <c r="X97" s="24"/>
      <c r="Y97" s="24"/>
      <c r="Z97" s="24"/>
      <c r="AA97" s="24"/>
      <c r="AB97" s="24"/>
    </row>
    <row r="98">
      <c r="A98" s="24" t="s">
        <v>165</v>
      </c>
      <c r="B98" s="25">
        <v>10713.0</v>
      </c>
      <c r="C98" s="24">
        <f>(log(Sheet1!C98)-log(min(Sheet1!$C$2:$C$104)))/(log(max(Sheet1!$C$2:$C$104))-log(min(Sheet1!$C$2:$C$104)))</f>
        <v>0.2411508118</v>
      </c>
      <c r="D98" s="24">
        <v>1.0</v>
      </c>
      <c r="E98" s="24">
        <v>0.559</v>
      </c>
      <c r="F98" s="24">
        <v>0.419355</v>
      </c>
      <c r="G98" s="24">
        <v>0.189</v>
      </c>
      <c r="H98" s="24">
        <f>(log(Sheet1!H98)-log(min(Sheet1!$H$2:$H$104)))/(log(max(Sheet1!$H$2:$H$104))-log(min(Sheet1!$H$2:$H$104)))</f>
        <v>0.08773826749</v>
      </c>
      <c r="I98" s="24">
        <f>(log(Sheet1!I98)-log(min(Sheet1!I$2:I$104)))/(log(max(Sheet1!I$2:I$104))-log(min(Sheet1!I$2:I$104)))</f>
        <v>0.4733678012</v>
      </c>
      <c r="J98" s="24">
        <f>(log(Sheet1!J98)-log(min(Sheet1!J$2:J$104)))/(log(max(Sheet1!J$2:J$104))-log(min(Sheet1!J$2:J$104)))</f>
        <v>0.06987663736</v>
      </c>
      <c r="K98" s="24">
        <f>(log(Sheet1!K98)-log(min(Sheet1!K$2:K$104)))/(log(max(Sheet1!K$2:K$104))-log(min(Sheet1!K$2:K$104)))</f>
        <v>0.1805763264</v>
      </c>
      <c r="L98" s="24">
        <f>(log(Sheet1!L98)-log(min(Sheet1!L$2:L$104)))/(log(max(Sheet1!L$2:L$104))-log(min(Sheet1!L$2:L$104)))</f>
        <v>0.6962345788</v>
      </c>
      <c r="M98" s="24">
        <f>(log(Sheet1!M98)-log(min(Sheet1!M$2:M$104)))/(log(max(Sheet1!M$2:M$104))-log(min(Sheet1!M$2:M$104)))</f>
        <v>0.8291566821</v>
      </c>
      <c r="N98" s="24">
        <f>(log(Sheet1!N98)-log(min(Sheet1!N$2:N$104)))/(log(max(Sheet1!N$2:N$104))-log(min(Sheet1!N$2:N$104)))</f>
        <v>0.3965463145</v>
      </c>
      <c r="O98" s="24">
        <f>(log(Sheet1!O98)-log(min(Sheet1!O$2:O$104)))/(log(max(Sheet1!O$2:O$104))-log(min(Sheet1!O$2:O$104)))</f>
        <v>0.7750663161</v>
      </c>
      <c r="P98" s="24">
        <f>(log(Sheet1!P98)-log(min(Sheet1!P$2:P$104)))/(log(max(Sheet1!P$2:P$104))-log(min(Sheet1!P$2:P$104)))</f>
        <v>0.8257479485</v>
      </c>
      <c r="Q98" s="24">
        <f>(log(Sheet1!Q98)-log(min(Sheet1!Q$2:Q$104)))/(log(max(Sheet1!Q$2:Q$104))-log(min(Sheet1!Q$2:Q$104)))</f>
        <v>0.4371642196</v>
      </c>
      <c r="R98" s="24">
        <f>(log(Sheet1!R98)-log(min(Sheet1!R$2:R$104)))/(log(max(Sheet1!R$2:R$104))-log(min(Sheet1!R$2:R$104)))</f>
        <v>0.6730222601</v>
      </c>
      <c r="S98" s="24">
        <f>(log(Sheet1!S98)-log(min(Sheet1!S$2:S$104)))/(log(max(Sheet1!S$2:S$104))-log(min(Sheet1!S$2:S$104)))</f>
        <v>0.8818502035</v>
      </c>
      <c r="T98" s="24">
        <f>(log(Sheet1!T98)-log(min(Sheet1!T$2:T$104)))/(log(max(Sheet1!T$2:T$104))-log(min(Sheet1!T$2:T$104)))</f>
        <v>0.2580379831</v>
      </c>
      <c r="U98" s="24">
        <f>(log(Sheet1!U98)-log(min(Sheet1!U$2:U$104)))/(log(max(Sheet1!U$2:U$104))-log(min(Sheet1!U$2:U$104)))</f>
        <v>0.1956792363</v>
      </c>
      <c r="V98" s="24"/>
      <c r="W98" s="24"/>
      <c r="X98" s="24"/>
      <c r="Y98" s="24"/>
      <c r="Z98" s="24"/>
      <c r="AA98" s="24"/>
      <c r="AB98" s="24"/>
    </row>
    <row r="99">
      <c r="A99" s="24" t="s">
        <v>166</v>
      </c>
      <c r="B99" s="25">
        <v>54748.0</v>
      </c>
      <c r="C99" s="24">
        <f>(log(Sheet1!C99)-log(min(Sheet1!$C$2:$C$104)))/(log(max(Sheet1!$C$2:$C$104))-log(min(Sheet1!$C$2:$C$104)))</f>
        <v>0.5517844508</v>
      </c>
      <c r="D99" s="24">
        <v>0.8</v>
      </c>
      <c r="E99" s="24">
        <v>0.301</v>
      </c>
      <c r="F99" s="24">
        <v>0.435484</v>
      </c>
      <c r="G99" s="24">
        <v>0.254</v>
      </c>
      <c r="H99" s="24">
        <f>(log(Sheet1!H99)-log(min(Sheet1!$H$2:$H$104)))/(log(max(Sheet1!$H$2:$H$104))-log(min(Sheet1!$H$2:$H$104)))</f>
        <v>0.8918123363</v>
      </c>
      <c r="I99" s="24">
        <f>(log(Sheet1!I99)-log(min(Sheet1!I$2:I$104)))/(log(max(Sheet1!I$2:I$104))-log(min(Sheet1!I$2:I$104)))</f>
        <v>0.8520948106</v>
      </c>
      <c r="J99" s="24">
        <f>(log(Sheet1!J99)-log(min(Sheet1!J$2:J$104)))/(log(max(Sheet1!J$2:J$104))-log(min(Sheet1!J$2:J$104)))</f>
        <v>0.8515373101</v>
      </c>
      <c r="K99" s="24">
        <f>(log(Sheet1!K99)-log(min(Sheet1!K$2:K$104)))/(log(max(Sheet1!K$2:K$104))-log(min(Sheet1!K$2:K$104)))</f>
        <v>0.9804163336</v>
      </c>
      <c r="L99" s="24">
        <f>(log(Sheet1!L99)-log(min(Sheet1!L$2:L$104)))/(log(max(Sheet1!L$2:L$104))-log(min(Sheet1!L$2:L$104)))</f>
        <v>0.2058660996</v>
      </c>
      <c r="M99" s="24">
        <f>(log(Sheet1!M99)-log(min(Sheet1!M$2:M$104)))/(log(max(Sheet1!M$2:M$104))-log(min(Sheet1!M$2:M$104)))</f>
        <v>0.7071031552</v>
      </c>
      <c r="N99" s="24">
        <f>(log(Sheet1!N99)-log(min(Sheet1!N$2:N$104)))/(log(max(Sheet1!N$2:N$104))-log(min(Sheet1!N$2:N$104)))</f>
        <v>0.4842969781</v>
      </c>
      <c r="O99" s="24">
        <f>(log(Sheet1!O99)-log(min(Sheet1!O$2:O$104)))/(log(max(Sheet1!O$2:O$104))-log(min(Sheet1!O$2:O$104)))</f>
        <v>0.2569079874</v>
      </c>
      <c r="P99" s="24">
        <f>(log(Sheet1!P99)-log(min(Sheet1!P$2:P$104)))/(log(max(Sheet1!P$2:P$104))-log(min(Sheet1!P$2:P$104)))</f>
        <v>0.5564485426</v>
      </c>
      <c r="Q99" s="24">
        <f>(log(Sheet1!Q99)-log(min(Sheet1!Q$2:Q$104)))/(log(max(Sheet1!Q$2:Q$104))-log(min(Sheet1!Q$2:Q$104)))</f>
        <v>0.1523752779</v>
      </c>
      <c r="R99" s="24">
        <f>(log(Sheet1!R99)-log(min(Sheet1!R$2:R$104)))/(log(max(Sheet1!R$2:R$104))-log(min(Sheet1!R$2:R$104)))</f>
        <v>0.9956591209</v>
      </c>
      <c r="S99" s="24">
        <f>(log(Sheet1!S99)-log(min(Sheet1!S$2:S$104)))/(log(max(Sheet1!S$2:S$104))-log(min(Sheet1!S$2:S$104)))</f>
        <v>0.3452865656</v>
      </c>
      <c r="T99" s="24">
        <f>(log(Sheet1!T99)-log(min(Sheet1!T$2:T$104)))/(log(max(Sheet1!T$2:T$104))-log(min(Sheet1!T$2:T$104)))</f>
        <v>0.2175205597</v>
      </c>
      <c r="U99" s="24">
        <f>(log(Sheet1!U99)-log(min(Sheet1!U$2:U$104)))/(log(max(Sheet1!U$2:U$104))-log(min(Sheet1!U$2:U$104)))</f>
        <v>0.4693421965</v>
      </c>
      <c r="V99" s="24"/>
      <c r="W99" s="24"/>
      <c r="X99" s="24"/>
      <c r="Y99" s="24"/>
      <c r="Z99" s="24"/>
      <c r="AA99" s="24"/>
      <c r="AB99" s="24"/>
    </row>
    <row r="100">
      <c r="A100" s="24" t="s">
        <v>167</v>
      </c>
      <c r="B100" s="25">
        <v>118686.0</v>
      </c>
      <c r="C100" s="24">
        <f>(log(Sheet1!C100)-log(min(Sheet1!$C$2:$C$104)))/(log(max(Sheet1!$C$2:$C$104))-log(min(Sheet1!$C$2:$C$104)))</f>
        <v>0.586815978</v>
      </c>
      <c r="D100" s="24">
        <v>0.6</v>
      </c>
      <c r="E100" s="24">
        <v>0.628</v>
      </c>
      <c r="F100" s="24">
        <v>0.612903</v>
      </c>
      <c r="G100" s="24">
        <v>0.28</v>
      </c>
      <c r="H100" s="24">
        <f>(log(Sheet1!H100)-log(min(Sheet1!$H$2:$H$104)))/(log(max(Sheet1!$H$2:$H$104))-log(min(Sheet1!$H$2:$H$104)))</f>
        <v>0.3759924193</v>
      </c>
      <c r="I100" s="24">
        <f>(log(Sheet1!I100)-log(min(Sheet1!I$2:I$104)))/(log(max(Sheet1!I$2:I$104))-log(min(Sheet1!I$2:I$104)))</f>
        <v>0.5194560954</v>
      </c>
      <c r="J100" s="24">
        <f>(log(Sheet1!J100)-log(min(Sheet1!J$2:J$104)))/(log(max(Sheet1!J$2:J$104))-log(min(Sheet1!J$2:J$104)))</f>
        <v>0.3893473921</v>
      </c>
      <c r="K100" s="24">
        <f>(log(Sheet1!K100)-log(min(Sheet1!K$2:K$104)))/(log(max(Sheet1!K$2:K$104))-log(min(Sheet1!K$2:K$104)))</f>
        <v>0.4083830982</v>
      </c>
      <c r="L100" s="24">
        <f>(log(Sheet1!L100)-log(min(Sheet1!L$2:L$104)))/(log(max(Sheet1!L$2:L$104))-log(min(Sheet1!L$2:L$104)))</f>
        <v>0.3643449613</v>
      </c>
      <c r="M100" s="24">
        <f>(log(Sheet1!M100)-log(min(Sheet1!M$2:M$104)))/(log(max(Sheet1!M$2:M$104))-log(min(Sheet1!M$2:M$104)))</f>
        <v>0.9147383609</v>
      </c>
      <c r="N100" s="24">
        <f>(log(Sheet1!N100)-log(min(Sheet1!N$2:N$104)))/(log(max(Sheet1!N$2:N$104))-log(min(Sheet1!N$2:N$104)))</f>
        <v>0.643489495</v>
      </c>
      <c r="O100" s="24">
        <f>(log(Sheet1!O100)-log(min(Sheet1!O$2:O$104)))/(log(max(Sheet1!O$2:O$104))-log(min(Sheet1!O$2:O$104)))</f>
        <v>0.4741205957</v>
      </c>
      <c r="P100" s="24">
        <f>(log(Sheet1!P100)-log(min(Sheet1!P$2:P$104)))/(log(max(Sheet1!P$2:P$104))-log(min(Sheet1!P$2:P$104)))</f>
        <v>0.4308244129</v>
      </c>
      <c r="Q100" s="24">
        <f>(log(Sheet1!Q100)-log(min(Sheet1!Q$2:Q$104)))/(log(max(Sheet1!Q$2:Q$104))-log(min(Sheet1!Q$2:Q$104)))</f>
        <v>0.2708653187</v>
      </c>
      <c r="R100" s="24">
        <f>(log(Sheet1!R100)-log(min(Sheet1!R$2:R$104)))/(log(max(Sheet1!R$2:R$104))-log(min(Sheet1!R$2:R$104)))</f>
        <v>0.8439794658</v>
      </c>
      <c r="S100" s="24">
        <f>(log(Sheet1!S100)-log(min(Sheet1!S$2:S$104)))/(log(max(Sheet1!S$2:S$104))-log(min(Sheet1!S$2:S$104)))</f>
        <v>0.8014903127</v>
      </c>
      <c r="T100" s="24">
        <f>(log(Sheet1!T100)-log(min(Sheet1!T$2:T$104)))/(log(max(Sheet1!T$2:T$104))-log(min(Sheet1!T$2:T$104)))</f>
        <v>0.2980292884</v>
      </c>
      <c r="U100" s="24">
        <f>(log(Sheet1!U100)-log(min(Sheet1!U$2:U$104)))/(log(max(Sheet1!U$2:U$104))-log(min(Sheet1!U$2:U$104)))</f>
        <v>0.4565701611</v>
      </c>
      <c r="V100" s="24"/>
      <c r="W100" s="24"/>
      <c r="X100" s="24"/>
      <c r="Y100" s="24"/>
      <c r="Z100" s="24"/>
      <c r="AA100" s="24"/>
      <c r="AB100" s="24"/>
    </row>
    <row r="101">
      <c r="A101" s="24" t="s">
        <v>168</v>
      </c>
      <c r="B101" s="25">
        <v>66013.0</v>
      </c>
      <c r="C101" s="24">
        <f>(log(Sheet1!C101)-log(min(Sheet1!$C$2:$C$104)))/(log(max(Sheet1!$C$2:$C$104))-log(min(Sheet1!$C$2:$C$104)))</f>
        <v>0.4310208027</v>
      </c>
      <c r="D101" s="24">
        <v>0.8</v>
      </c>
      <c r="E101" s="24">
        <v>0.264</v>
      </c>
      <c r="F101" s="24">
        <v>0.967742</v>
      </c>
      <c r="G101" s="24">
        <v>0.221</v>
      </c>
      <c r="H101" s="24">
        <f>(log(Sheet1!H101)-log(min(Sheet1!$H$2:$H$104)))/(log(max(Sheet1!$H$2:$H$104))-log(min(Sheet1!$H$2:$H$104)))</f>
        <v>0.4893713042</v>
      </c>
      <c r="I101" s="24">
        <f>(log(Sheet1!I101)-log(min(Sheet1!I$2:I$104)))/(log(max(Sheet1!I$2:I$104))-log(min(Sheet1!I$2:I$104)))</f>
        <v>0.2544487646</v>
      </c>
      <c r="J101" s="24">
        <f>(log(Sheet1!J101)-log(min(Sheet1!J$2:J$104)))/(log(max(Sheet1!J$2:J$104))-log(min(Sheet1!J$2:J$104)))</f>
        <v>0.2498700253</v>
      </c>
      <c r="K101" s="24">
        <f>(log(Sheet1!K101)-log(min(Sheet1!K$2:K$104)))/(log(max(Sheet1!K$2:K$104))-log(min(Sheet1!K$2:K$104)))</f>
        <v>0.9172935127</v>
      </c>
      <c r="L101" s="24">
        <f>(log(Sheet1!L101)-log(min(Sheet1!L$2:L$104)))/(log(max(Sheet1!L$2:L$104))-log(min(Sheet1!L$2:L$104)))</f>
        <v>0.3249258062</v>
      </c>
      <c r="M101" s="24">
        <f>(log(Sheet1!M101)-log(min(Sheet1!M$2:M$104)))/(log(max(Sheet1!M$2:M$104))-log(min(Sheet1!M$2:M$104)))</f>
        <v>0.8808134492</v>
      </c>
      <c r="N101" s="24">
        <f>(log(Sheet1!N101)-log(min(Sheet1!N$2:N$104)))/(log(max(Sheet1!N$2:N$104))-log(min(Sheet1!N$2:N$104)))</f>
        <v>0.6983993233</v>
      </c>
      <c r="O101" s="24">
        <f>(log(Sheet1!O101)-log(min(Sheet1!O$2:O$104)))/(log(max(Sheet1!O$2:O$104))-log(min(Sheet1!O$2:O$104)))</f>
        <v>0.5396716133</v>
      </c>
      <c r="P101" s="24">
        <f>(log(Sheet1!P101)-log(min(Sheet1!P$2:P$104)))/(log(max(Sheet1!P$2:P$104))-log(min(Sheet1!P$2:P$104)))</f>
        <v>0.6102747864</v>
      </c>
      <c r="Q101" s="24">
        <f>(log(Sheet1!Q101)-log(min(Sheet1!Q$2:Q$104)))/(log(max(Sheet1!Q$2:Q$104))-log(min(Sheet1!Q$2:Q$104)))</f>
        <v>0.425924289</v>
      </c>
      <c r="R101" s="24">
        <f>(log(Sheet1!R101)-log(min(Sheet1!R$2:R$104)))/(log(max(Sheet1!R$2:R$104))-log(min(Sheet1!R$2:R$104)))</f>
        <v>0.5990237144</v>
      </c>
      <c r="S101" s="24">
        <f>(log(Sheet1!S101)-log(min(Sheet1!S$2:S$104)))/(log(max(Sheet1!S$2:S$104))-log(min(Sheet1!S$2:S$104)))</f>
        <v>0.6288706967</v>
      </c>
      <c r="T101" s="24">
        <f>(log(Sheet1!T101)-log(min(Sheet1!T$2:T$104)))/(log(max(Sheet1!T$2:T$104))-log(min(Sheet1!T$2:T$104)))</f>
        <v>0.2980292884</v>
      </c>
      <c r="U101" s="24">
        <f>(log(Sheet1!U101)-log(min(Sheet1!U$2:U$104)))/(log(max(Sheet1!U$2:U$104))-log(min(Sheet1!U$2:U$104)))</f>
        <v>0.4085489327</v>
      </c>
      <c r="V101" s="24"/>
      <c r="W101" s="24"/>
      <c r="X101" s="24"/>
      <c r="Y101" s="24"/>
      <c r="Z101" s="24"/>
      <c r="AA101" s="24"/>
      <c r="AB101" s="24"/>
    </row>
    <row r="102">
      <c r="A102" s="24" t="s">
        <v>169</v>
      </c>
      <c r="B102" s="25">
        <v>78970.0</v>
      </c>
      <c r="C102" s="24">
        <f>(log(Sheet1!C102)-log(min(Sheet1!$C$2:$C$104)))/(log(max(Sheet1!$C$2:$C$104))-log(min(Sheet1!$C$2:$C$104)))</f>
        <v>0.5865722453</v>
      </c>
      <c r="D102" s="24">
        <v>0.8</v>
      </c>
      <c r="E102" s="24">
        <v>0.632</v>
      </c>
      <c r="F102" s="24">
        <v>0.467742</v>
      </c>
      <c r="G102" s="24">
        <v>0.285</v>
      </c>
      <c r="H102" s="24">
        <f>(log(Sheet1!H102)-log(min(Sheet1!$H$2:$H$104)))/(log(max(Sheet1!$H$2:$H$104))-log(min(Sheet1!$H$2:$H$104)))</f>
        <v>0.3813246402</v>
      </c>
      <c r="I102" s="24">
        <f>(log(Sheet1!I102)-log(min(Sheet1!I$2:I$104)))/(log(max(Sheet1!I$2:I$104))-log(min(Sheet1!I$2:I$104)))</f>
        <v>0.4034213796</v>
      </c>
      <c r="J102" s="24">
        <f>(log(Sheet1!J102)-log(min(Sheet1!J$2:J$104)))/(log(max(Sheet1!J$2:J$104))-log(min(Sheet1!J$2:J$104)))</f>
        <v>0.361780684</v>
      </c>
      <c r="K102" s="24">
        <f>(log(Sheet1!K102)-log(min(Sheet1!K$2:K$104)))/(log(max(Sheet1!K$2:K$104))-log(min(Sheet1!K$2:K$104)))</f>
        <v>0.491292372</v>
      </c>
      <c r="L102" s="24">
        <f>(log(Sheet1!L102)-log(min(Sheet1!L$2:L$104)))/(log(max(Sheet1!L$2:L$104))-log(min(Sheet1!L$2:L$104)))</f>
        <v>0.4073295836</v>
      </c>
      <c r="M102" s="24">
        <f>(log(Sheet1!M102)-log(min(Sheet1!M$2:M$104)))/(log(max(Sheet1!M$2:M$104))-log(min(Sheet1!M$2:M$104)))</f>
        <v>0.8930004327</v>
      </c>
      <c r="N102" s="24">
        <f>(log(Sheet1!N102)-log(min(Sheet1!N$2:N$104)))/(log(max(Sheet1!N$2:N$104))-log(min(Sheet1!N$2:N$104)))</f>
        <v>0.643489495</v>
      </c>
      <c r="O102" s="24">
        <f>(log(Sheet1!O102)-log(min(Sheet1!O$2:O$104)))/(log(max(Sheet1!O$2:O$104))-log(min(Sheet1!O$2:O$104)))</f>
        <v>0.9044316699</v>
      </c>
      <c r="P102" s="24">
        <f>(log(Sheet1!P102)-log(min(Sheet1!P$2:P$104)))/(log(max(Sheet1!P$2:P$104))-log(min(Sheet1!P$2:P$104)))</f>
        <v>0.5369614421</v>
      </c>
      <c r="Q102" s="24">
        <f>(log(Sheet1!Q102)-log(min(Sheet1!Q$2:Q$104)))/(log(max(Sheet1!Q$2:Q$104))-log(min(Sheet1!Q$2:Q$104)))</f>
        <v>0.2194474467</v>
      </c>
      <c r="R102" s="24">
        <f>(log(Sheet1!R102)-log(min(Sheet1!R$2:R$104)))/(log(max(Sheet1!R$2:R$104))-log(min(Sheet1!R$2:R$104)))</f>
        <v>0.7518240375</v>
      </c>
      <c r="S102" s="24">
        <f>(log(Sheet1!S102)-log(min(Sheet1!S$2:S$104)))/(log(max(Sheet1!S$2:S$104))-log(min(Sheet1!S$2:S$104)))</f>
        <v>0.8151405586</v>
      </c>
      <c r="T102" s="24">
        <f>(log(Sheet1!T102)-log(min(Sheet1!T$2:T$104)))/(log(max(Sheet1!T$2:T$104))-log(min(Sheet1!T$2:T$104)))</f>
        <v>0.3209390002</v>
      </c>
      <c r="U102" s="24">
        <f>(log(Sheet1!U102)-log(min(Sheet1!U$2:U$104)))/(log(max(Sheet1!U$2:U$104))-log(min(Sheet1!U$2:U$104)))</f>
        <v>0.4012192712</v>
      </c>
      <c r="V102" s="24"/>
      <c r="W102" s="24"/>
      <c r="X102" s="24"/>
      <c r="Y102" s="24"/>
      <c r="Z102" s="24"/>
      <c r="AA102" s="24"/>
      <c r="AB102" s="24"/>
    </row>
    <row r="103">
      <c r="A103" s="24" t="s">
        <v>171</v>
      </c>
      <c r="B103" s="25">
        <v>37774.0</v>
      </c>
      <c r="C103" s="24">
        <f>(log(Sheet1!C103)-log(min(Sheet1!$C$2:$C$104)))/(log(max(Sheet1!$C$2:$C$104))-log(min(Sheet1!$C$2:$C$104)))</f>
        <v>0.4735142224</v>
      </c>
      <c r="D103" s="24">
        <v>0.4</v>
      </c>
      <c r="E103" s="24">
        <v>0.319</v>
      </c>
      <c r="F103" s="24">
        <v>1.0</v>
      </c>
      <c r="G103" s="24">
        <v>0.219</v>
      </c>
      <c r="H103" s="24">
        <f>(log(Sheet1!H103)-log(min(Sheet1!$H$2:$H$104)))/(log(max(Sheet1!$H$2:$H$104))-log(min(Sheet1!$H$2:$H$104)))</f>
        <v>0.4055001202</v>
      </c>
      <c r="I103" s="24">
        <f>(log(Sheet1!I103)-log(min(Sheet1!I$2:I$104)))/(log(max(Sheet1!I$2:I$104))-log(min(Sheet1!I$2:I$104)))</f>
        <v>0.5251871034</v>
      </c>
      <c r="J103" s="24">
        <f>(log(Sheet1!J103)-log(min(Sheet1!J$2:J$104)))/(log(max(Sheet1!J$2:J$104))-log(min(Sheet1!J$2:J$104)))</f>
        <v>0.2181111754</v>
      </c>
      <c r="K103" s="24">
        <f>(log(Sheet1!K103)-log(min(Sheet1!K$2:K$104)))/(log(max(Sheet1!K$2:K$104))-log(min(Sheet1!K$2:K$104)))</f>
        <v>0.7760696651</v>
      </c>
      <c r="L103" s="24">
        <f>(log(Sheet1!L103)-log(min(Sheet1!L$2:L$104)))/(log(max(Sheet1!L$2:L$104))-log(min(Sheet1!L$2:L$104)))</f>
        <v>0.326589536</v>
      </c>
      <c r="M103" s="24">
        <f>(log(Sheet1!M103)-log(min(Sheet1!M$2:M$104)))/(log(max(Sheet1!M$2:M$104))-log(min(Sheet1!M$2:M$104)))</f>
        <v>0.8610844531</v>
      </c>
      <c r="N103" s="24">
        <f>(log(Sheet1!N103)-log(min(Sheet1!N$2:N$104)))/(log(max(Sheet1!N$2:N$104))-log(min(Sheet1!N$2:N$104)))</f>
        <v>0.8341953917</v>
      </c>
      <c r="O103" s="24">
        <f>(log(Sheet1!O103)-log(min(Sheet1!O$2:O$104)))/(log(max(Sheet1!O$2:O$104))-log(min(Sheet1!O$2:O$104)))</f>
        <v>0.2172126083</v>
      </c>
      <c r="P103" s="24">
        <f>(log(Sheet1!P103)-log(min(Sheet1!P$2:P$104)))/(log(max(Sheet1!P$2:P$104))-log(min(Sheet1!P$2:P$104)))</f>
        <v>0.7471869201</v>
      </c>
      <c r="Q103" s="24">
        <f>(log(Sheet1!Q103)-log(min(Sheet1!Q$2:Q$104)))/(log(max(Sheet1!Q$2:Q$104))-log(min(Sheet1!Q$2:Q$104)))</f>
        <v>0.5291983287</v>
      </c>
      <c r="R103" s="24">
        <f>(log(Sheet1!R103)-log(min(Sheet1!R$2:R$104)))/(log(max(Sheet1!R$2:R$104))-log(min(Sheet1!R$2:R$104)))</f>
        <v>0.5751422189</v>
      </c>
      <c r="S103" s="24">
        <f>(log(Sheet1!S103)-log(min(Sheet1!S$2:S$104)))/(log(max(Sheet1!S$2:S$104))-log(min(Sheet1!S$2:S$104)))</f>
        <v>0.6785401207</v>
      </c>
      <c r="T103" s="24">
        <f>(log(Sheet1!T103)-log(min(Sheet1!T$2:T$104)))/(log(max(Sheet1!T$2:T$104))-log(min(Sheet1!T$2:T$104)))</f>
        <v>0.3154460052</v>
      </c>
      <c r="U103" s="24">
        <f>(log(Sheet1!U103)-log(min(Sheet1!U$2:U$104)))/(log(max(Sheet1!U$2:U$104))-log(min(Sheet1!U$2:U$104)))</f>
        <v>0.4298027594</v>
      </c>
      <c r="V103" s="24"/>
      <c r="W103" s="24"/>
      <c r="X103" s="24"/>
      <c r="Y103" s="24"/>
      <c r="Z103" s="24"/>
      <c r="AA103" s="24"/>
      <c r="AB103" s="24"/>
    </row>
    <row r="104">
      <c r="A104" s="24" t="s">
        <v>172</v>
      </c>
      <c r="B104" s="25">
        <v>18938.0</v>
      </c>
      <c r="C104" s="24">
        <f>(log(Sheet1!C104)-log(min(Sheet1!$C$2:$C$104)))/(log(max(Sheet1!$C$2:$C$104))-log(min(Sheet1!$C$2:$C$104)))</f>
        <v>0.3620172952</v>
      </c>
      <c r="D104" s="24">
        <v>1.0</v>
      </c>
      <c r="E104" s="24">
        <v>0.186</v>
      </c>
      <c r="F104" s="24">
        <v>0.774194</v>
      </c>
      <c r="G104" s="24">
        <v>0.142</v>
      </c>
      <c r="H104" s="24">
        <f>(log(Sheet1!H104)-log(min(Sheet1!$H$2:$H$104)))/(log(max(Sheet1!$H$2:$H$104))-log(min(Sheet1!$H$2:$H$104)))</f>
        <v>0.7217668488</v>
      </c>
      <c r="I104" s="24">
        <f>(log(Sheet1!I104)-log(min(Sheet1!I$2:I$104)))/(log(max(Sheet1!I$2:I$104))-log(min(Sheet1!I$2:I$104)))</f>
        <v>0.6159929608</v>
      </c>
      <c r="J104" s="24">
        <f>(log(Sheet1!J104)-log(min(Sheet1!J$2:J$104)))/(log(max(Sheet1!J$2:J$104))-log(min(Sheet1!J$2:J$104)))</f>
        <v>0.4333677005</v>
      </c>
      <c r="K104" s="24">
        <f>(log(Sheet1!K104)-log(min(Sheet1!K$2:K$104)))/(log(max(Sheet1!K$2:K$104))-log(min(Sheet1!K$2:K$104)))</f>
        <v>1</v>
      </c>
      <c r="L104" s="24">
        <f>(log(Sheet1!L104)-log(min(Sheet1!L$2:L$104)))/(log(max(Sheet1!L$2:L$104))-log(min(Sheet1!L$2:L$104)))</f>
        <v>0.1533739912</v>
      </c>
      <c r="M104" s="24">
        <f>(log(Sheet1!M104)-log(min(Sheet1!M$2:M$104)))/(log(max(Sheet1!M$2:M$104))-log(min(Sheet1!M$2:M$104)))</f>
        <v>0.666233104</v>
      </c>
      <c r="N104" s="24">
        <f>(log(Sheet1!N104)-log(min(Sheet1!N$2:N$104)))/(log(max(Sheet1!N$2:N$104))-log(min(Sheet1!N$2:N$104)))</f>
        <v>0.373628935</v>
      </c>
      <c r="O104" s="24">
        <f>(log(Sheet1!O104)-log(min(Sheet1!O$2:O$104)))/(log(max(Sheet1!O$2:O$104))-log(min(Sheet1!O$2:O$104)))</f>
        <v>0.4053707281</v>
      </c>
      <c r="P104" s="24">
        <f>(log(Sheet1!P104)-log(min(Sheet1!P$2:P$104)))/(log(max(Sheet1!P$2:P$104))-log(min(Sheet1!P$2:P$104)))</f>
        <v>0.770278362</v>
      </c>
      <c r="Q104" s="24">
        <f>(log(Sheet1!Q104)-log(min(Sheet1!Q$2:Q$104)))/(log(max(Sheet1!Q$2:Q$104))-log(min(Sheet1!Q$2:Q$104)))</f>
        <v>0.6056281177</v>
      </c>
      <c r="R104" s="24">
        <f>(log(Sheet1!R104)-log(min(Sheet1!R$2:R$104)))/(log(max(Sheet1!R$2:R$104))-log(min(Sheet1!R$2:R$104)))</f>
        <v>0.5226992692</v>
      </c>
      <c r="S104" s="24">
        <f>(log(Sheet1!S104)-log(min(Sheet1!S$2:S$104)))/(log(max(Sheet1!S$2:S$104))-log(min(Sheet1!S$2:S$104)))</f>
        <v>0.514407932</v>
      </c>
      <c r="T104" s="24">
        <f>(log(Sheet1!T104)-log(min(Sheet1!T$2:T$104)))/(log(max(Sheet1!T$2:T$104))-log(min(Sheet1!T$2:T$104)))</f>
        <v>0.3690578435</v>
      </c>
      <c r="U104" s="24">
        <f>(log(Sheet1!U104)-log(min(Sheet1!U$2:U$104)))/(log(max(Sheet1!U$2:U$104))-log(min(Sheet1!U$2:U$104)))</f>
        <v>0.522461417</v>
      </c>
      <c r="V104" s="24"/>
      <c r="W104" s="24"/>
      <c r="X104" s="24"/>
      <c r="Y104" s="24"/>
      <c r="Z104" s="24"/>
      <c r="AA104" s="24"/>
      <c r="AB104" s="24"/>
    </row>
    <row r="105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4"/>
      <c r="AB105" s="24"/>
    </row>
    <row r="106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24"/>
      <c r="AB106" s="24"/>
    </row>
    <row r="107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4"/>
      <c r="AB107" s="24"/>
    </row>
    <row r="108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  <c r="AA108" s="24"/>
      <c r="AB108" s="24"/>
    </row>
    <row r="109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  <c r="AB109" s="24"/>
    </row>
    <row r="110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  <c r="AB110" s="24"/>
    </row>
    <row r="111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  <c r="AB111" s="24"/>
    </row>
    <row r="112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4"/>
      <c r="AB112" s="24"/>
    </row>
    <row r="113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  <c r="AB113" s="24"/>
    </row>
    <row r="114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4"/>
      <c r="AB114" s="24"/>
    </row>
    <row r="115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4"/>
      <c r="AB115" s="24"/>
    </row>
    <row r="116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4"/>
      <c r="AB116" s="24"/>
    </row>
    <row r="117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4"/>
      <c r="AB117" s="24"/>
    </row>
    <row r="118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  <c r="AB118" s="24"/>
    </row>
    <row r="119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  <c r="AB119" s="24"/>
    </row>
    <row r="120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  <c r="AB120" s="24"/>
    </row>
    <row r="121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4"/>
      <c r="AB121" s="24"/>
    </row>
    <row r="122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  <c r="AA122" s="24"/>
      <c r="AB122" s="24"/>
    </row>
    <row r="123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  <c r="AA123" s="24"/>
      <c r="AB123" s="24"/>
    </row>
    <row r="124">
      <c r="A124" s="2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  <c r="AA124" s="24"/>
      <c r="AB124" s="24"/>
    </row>
    <row r="125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  <c r="AA125" s="24"/>
      <c r="AB125" s="24"/>
    </row>
    <row r="126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  <c r="AA126" s="24"/>
      <c r="AB126" s="24"/>
    </row>
    <row r="127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4"/>
      <c r="AB127" s="24"/>
    </row>
    <row r="128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  <c r="AA128" s="24"/>
      <c r="AB128" s="24"/>
    </row>
    <row r="129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  <c r="AB129" s="24"/>
    </row>
    <row r="130">
      <c r="A130" s="2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  <c r="AB130" s="24"/>
    </row>
    <row r="131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  <c r="AA131" s="24"/>
      <c r="AB131" s="24"/>
    </row>
    <row r="132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  <c r="AA132" s="24"/>
      <c r="AB132" s="24"/>
    </row>
    <row r="133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4"/>
      <c r="AB133" s="24"/>
    </row>
    <row r="134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  <c r="AA134" s="24"/>
      <c r="AB134" s="24"/>
    </row>
    <row r="135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  <c r="AA135" s="24"/>
      <c r="AB135" s="24"/>
    </row>
    <row r="136">
      <c r="A136" s="2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  <c r="AA136" s="24"/>
      <c r="AB136" s="24"/>
    </row>
    <row r="137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4"/>
      <c r="AB137" s="24"/>
    </row>
    <row r="138">
      <c r="A138" s="2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4"/>
      <c r="AB138" s="24"/>
    </row>
    <row r="139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  <c r="AA139" s="24"/>
      <c r="AB139" s="24"/>
    </row>
    <row r="140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  <c r="AA140" s="24"/>
      <c r="AB140" s="24"/>
    </row>
    <row r="141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</row>
    <row r="142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</row>
    <row r="143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  <c r="AA143" s="24"/>
      <c r="AB143" s="24"/>
    </row>
    <row r="144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  <c r="AA144" s="24"/>
      <c r="AB144" s="24"/>
    </row>
    <row r="145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  <c r="AA145" s="24"/>
      <c r="AB145" s="24"/>
    </row>
    <row r="146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  <c r="AA146" s="24"/>
      <c r="AB146" s="24"/>
    </row>
    <row r="147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  <c r="AA147" s="24"/>
      <c r="AB147" s="24"/>
    </row>
    <row r="148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</row>
    <row r="149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</row>
    <row r="150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  <c r="AA150" s="24"/>
      <c r="AB150" s="24"/>
    </row>
    <row r="151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  <c r="AB151" s="24"/>
    </row>
    <row r="152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  <c r="AB152" s="24"/>
    </row>
    <row r="153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</row>
    <row r="154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  <c r="AB154" s="24"/>
    </row>
    <row r="155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  <c r="AB155" s="24"/>
    </row>
    <row r="156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</row>
    <row r="157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</row>
    <row r="158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</row>
    <row r="159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  <c r="AB159" s="24"/>
    </row>
    <row r="160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</row>
    <row r="161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</row>
    <row r="162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</row>
    <row r="163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</row>
    <row r="164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</row>
    <row r="165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</row>
    <row r="166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</row>
    <row r="167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</row>
    <row r="168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</row>
    <row r="169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</row>
    <row r="170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</row>
    <row r="171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</row>
    <row r="172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</row>
    <row r="173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</row>
    <row r="174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</row>
    <row r="175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</row>
    <row r="176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</row>
    <row r="177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  <c r="AB177" s="24"/>
    </row>
    <row r="178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  <c r="AB178" s="24"/>
    </row>
    <row r="179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  <c r="AB179" s="24"/>
    </row>
    <row r="180">
      <c r="A180" s="2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  <c r="AB180" s="24"/>
    </row>
    <row r="181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  <c r="AB181" s="24"/>
    </row>
    <row r="182">
      <c r="A182" s="2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  <c r="AB182" s="24"/>
    </row>
    <row r="183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  <c r="AB183" s="24"/>
    </row>
    <row r="184">
      <c r="A184" s="2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  <c r="AB184" s="24"/>
    </row>
    <row r="185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  <c r="AB185" s="24"/>
    </row>
    <row r="186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  <c r="AB186" s="24"/>
    </row>
    <row r="187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  <c r="AB187" s="24"/>
    </row>
    <row r="188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  <c r="AB188" s="24"/>
    </row>
    <row r="189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  <c r="AB189" s="24"/>
    </row>
    <row r="190">
      <c r="A190" s="2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  <c r="AB190" s="24"/>
    </row>
    <row r="191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  <c r="AB191" s="24"/>
    </row>
    <row r="192">
      <c r="A192" s="2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  <c r="AB192" s="24"/>
    </row>
    <row r="193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  <c r="AB193" s="24"/>
    </row>
    <row r="194">
      <c r="A194" s="2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  <c r="AB194" s="24"/>
    </row>
    <row r="195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  <c r="AB195" s="24"/>
    </row>
    <row r="196">
      <c r="A196" s="2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  <c r="AB196" s="24"/>
    </row>
    <row r="197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  <c r="AB197" s="24"/>
    </row>
    <row r="198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  <c r="AB198" s="24"/>
    </row>
    <row r="199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  <c r="AB199" s="24"/>
    </row>
    <row r="200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  <c r="AB200" s="24"/>
    </row>
    <row r="201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4"/>
      <c r="AB201" s="24"/>
    </row>
    <row r="202">
      <c r="A202" s="24"/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  <c r="AB202" s="24"/>
    </row>
    <row r="203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4"/>
      <c r="AB203" s="24"/>
    </row>
    <row r="204">
      <c r="A204" s="24"/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  <c r="AB204" s="24"/>
    </row>
    <row r="205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  <c r="AB205" s="24"/>
    </row>
    <row r="206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  <c r="AB206" s="24"/>
    </row>
    <row r="207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4"/>
      <c r="AB207" s="24"/>
    </row>
    <row r="208">
      <c r="A208" s="24"/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  <c r="AB208" s="24"/>
    </row>
    <row r="209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4"/>
      <c r="AB209" s="24"/>
    </row>
    <row r="210">
      <c r="A210" s="24"/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4"/>
      <c r="AB210" s="24"/>
    </row>
    <row r="211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4"/>
      <c r="AB211" s="24"/>
    </row>
    <row r="212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4"/>
      <c r="AB212" s="24"/>
    </row>
    <row r="213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4"/>
      <c r="AB213" s="24"/>
    </row>
    <row r="214">
      <c r="A214" s="24"/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  <c r="AA214" s="24"/>
      <c r="AB214" s="24"/>
    </row>
    <row r="215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  <c r="AA215" s="24"/>
      <c r="AB215" s="24"/>
    </row>
    <row r="216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  <c r="AA216" s="24"/>
      <c r="AB216" s="24"/>
    </row>
    <row r="217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  <c r="AA217" s="24"/>
      <c r="AB217" s="24"/>
    </row>
    <row r="218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  <c r="AA218" s="24"/>
      <c r="AB218" s="24"/>
    </row>
    <row r="219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  <c r="AA219" s="24"/>
      <c r="AB219" s="24"/>
    </row>
    <row r="220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  <c r="AA220" s="24"/>
      <c r="AB220" s="24"/>
    </row>
    <row r="221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  <c r="AB221" s="24"/>
    </row>
    <row r="222">
      <c r="A222" s="2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  <c r="AB222" s="24"/>
    </row>
    <row r="223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  <c r="AB223" s="24"/>
    </row>
    <row r="224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  <c r="AB224" s="24"/>
    </row>
    <row r="225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24"/>
    </row>
    <row r="226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  <c r="AB226" s="24"/>
    </row>
    <row r="227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  <c r="AB227" s="24"/>
    </row>
    <row r="228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  <c r="AB228" s="24"/>
    </row>
    <row r="229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  <c r="AB229" s="24"/>
    </row>
    <row r="230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  <c r="AB230" s="24"/>
    </row>
    <row r="231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  <c r="AB231" s="24"/>
    </row>
    <row r="232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  <c r="AB232" s="24"/>
    </row>
    <row r="233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  <c r="AB233" s="24"/>
    </row>
    <row r="234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  <c r="AB234" s="24"/>
    </row>
    <row r="235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  <c r="AB235" s="24"/>
    </row>
    <row r="236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  <c r="AB236" s="24"/>
    </row>
    <row r="237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24"/>
    </row>
    <row r="238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  <c r="AB238" s="24"/>
    </row>
    <row r="239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  <c r="AB239" s="24"/>
    </row>
    <row r="240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  <c r="AB240" s="24"/>
    </row>
    <row r="241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  <c r="AB241" s="24"/>
    </row>
    <row r="242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  <c r="AB242" s="24"/>
    </row>
    <row r="243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  <c r="AB243" s="24"/>
    </row>
    <row r="244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  <c r="AB244" s="24"/>
    </row>
    <row r="245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24"/>
    </row>
    <row r="246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  <c r="AB246" s="24"/>
    </row>
    <row r="247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24"/>
    </row>
    <row r="248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24"/>
    </row>
    <row r="249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24"/>
    </row>
    <row r="250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24"/>
    </row>
    <row r="251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  <c r="AB251" s="24"/>
    </row>
    <row r="252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  <c r="AB252" s="24"/>
    </row>
    <row r="253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24"/>
    </row>
    <row r="254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24"/>
    </row>
    <row r="255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  <c r="AB255" s="24"/>
    </row>
    <row r="256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  <c r="AB256" s="24"/>
    </row>
    <row r="257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  <c r="AB257" s="24"/>
    </row>
    <row r="258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  <c r="AB258" s="24"/>
    </row>
    <row r="259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24"/>
    </row>
    <row r="260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24"/>
    </row>
    <row r="261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  <c r="AB261" s="24"/>
    </row>
    <row r="262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24"/>
    </row>
    <row r="263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24"/>
    </row>
    <row r="264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24"/>
    </row>
    <row r="265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24"/>
    </row>
    <row r="266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  <c r="AB266" s="24"/>
    </row>
    <row r="267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24"/>
    </row>
    <row r="268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24"/>
    </row>
    <row r="269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24"/>
    </row>
    <row r="270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24"/>
    </row>
    <row r="271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24"/>
    </row>
    <row r="272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24"/>
    </row>
    <row r="273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24"/>
    </row>
    <row r="274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24"/>
    </row>
    <row r="275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24"/>
    </row>
    <row r="276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24"/>
    </row>
    <row r="277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24"/>
    </row>
    <row r="278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</row>
    <row r="279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24"/>
    </row>
    <row r="280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24"/>
    </row>
    <row r="281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  <c r="AB281" s="24"/>
    </row>
    <row r="282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  <c r="AB282" s="24"/>
    </row>
    <row r="283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  <c r="AB283" s="24"/>
    </row>
    <row r="284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  <c r="AB284" s="24"/>
    </row>
    <row r="285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  <c r="AB285" s="24"/>
    </row>
    <row r="286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  <c r="AB286" s="24"/>
    </row>
    <row r="287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  <c r="AB287" s="24"/>
    </row>
    <row r="288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  <c r="AB288" s="24"/>
    </row>
    <row r="289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  <c r="AB289" s="24"/>
    </row>
    <row r="290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  <c r="AB290" s="24"/>
    </row>
    <row r="291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  <c r="AB291" s="24"/>
    </row>
    <row r="292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  <c r="AB292" s="24"/>
    </row>
    <row r="293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</row>
    <row r="294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</row>
    <row r="295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</row>
    <row r="296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</row>
    <row r="297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</row>
    <row r="298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</row>
    <row r="299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  <c r="AB299" s="24"/>
    </row>
    <row r="300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  <c r="AB300" s="24"/>
    </row>
    <row r="301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  <c r="AB301" s="24"/>
    </row>
    <row r="302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  <c r="AB302" s="24"/>
    </row>
    <row r="303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  <c r="AB303" s="24"/>
    </row>
    <row r="304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  <c r="AB304" s="24"/>
    </row>
    <row r="305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  <c r="AB305" s="24"/>
    </row>
    <row r="306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  <c r="AB306" s="24"/>
    </row>
    <row r="307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  <c r="AB307" s="24"/>
    </row>
    <row r="308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  <c r="AB308" s="24"/>
    </row>
    <row r="309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  <c r="AB309" s="24"/>
    </row>
    <row r="310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  <c r="AB310" s="24"/>
    </row>
    <row r="311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  <c r="AB311" s="24"/>
    </row>
    <row r="312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  <c r="AB312" s="24"/>
    </row>
    <row r="313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  <c r="AB313" s="24"/>
    </row>
    <row r="314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  <c r="AB314" s="24"/>
    </row>
    <row r="315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  <c r="AB315" s="24"/>
    </row>
    <row r="316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  <c r="AB316" s="24"/>
    </row>
    <row r="317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  <c r="AB317" s="24"/>
    </row>
    <row r="318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  <c r="AB318" s="24"/>
    </row>
    <row r="319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  <c r="AB319" s="24"/>
    </row>
    <row r="320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  <c r="AB320" s="24"/>
    </row>
    <row r="321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  <c r="AB321" s="24"/>
    </row>
    <row r="322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  <c r="AB322" s="24"/>
    </row>
    <row r="323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  <c r="AB323" s="24"/>
    </row>
    <row r="324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  <c r="AB324" s="24"/>
    </row>
    <row r="325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  <c r="AB325" s="24"/>
    </row>
    <row r="326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  <c r="AB326" s="24"/>
    </row>
    <row r="327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  <c r="AB327" s="24"/>
    </row>
    <row r="328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  <c r="AB328" s="24"/>
    </row>
    <row r="329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  <c r="AB329" s="24"/>
    </row>
    <row r="330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  <c r="AB330" s="24"/>
    </row>
    <row r="331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  <c r="AB331" s="24"/>
    </row>
    <row r="332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  <c r="AB332" s="24"/>
    </row>
    <row r="333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  <c r="AB333" s="24"/>
    </row>
    <row r="334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  <c r="AB334" s="24"/>
    </row>
    <row r="335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  <c r="AB335" s="24"/>
    </row>
    <row r="336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  <c r="AB336" s="24"/>
    </row>
    <row r="337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  <c r="AB337" s="24"/>
    </row>
    <row r="338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  <c r="AB338" s="24"/>
    </row>
    <row r="339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  <c r="AB339" s="24"/>
    </row>
    <row r="340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  <c r="AB340" s="24"/>
    </row>
    <row r="341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  <c r="AB341" s="24"/>
    </row>
    <row r="342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  <c r="AB342" s="24"/>
    </row>
    <row r="343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  <c r="AB343" s="24"/>
    </row>
    <row r="344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  <c r="AB344" s="24"/>
    </row>
    <row r="345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  <c r="AB345" s="24"/>
    </row>
    <row r="346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  <c r="AB346" s="24"/>
    </row>
    <row r="347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  <c r="AB347" s="24"/>
    </row>
    <row r="348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  <c r="AB348" s="24"/>
    </row>
    <row r="349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  <c r="AB349" s="24"/>
    </row>
    <row r="350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  <c r="AB350" s="24"/>
    </row>
    <row r="351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  <c r="AB351" s="24"/>
    </row>
    <row r="352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  <c r="AB352" s="24"/>
    </row>
    <row r="353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  <c r="AB353" s="24"/>
    </row>
    <row r="354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  <c r="AB354" s="24"/>
    </row>
    <row r="355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  <c r="AB355" s="24"/>
    </row>
    <row r="356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  <c r="AB356" s="24"/>
    </row>
    <row r="357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  <c r="AB357" s="24"/>
    </row>
    <row r="358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  <c r="AB358" s="24"/>
    </row>
    <row r="359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  <c r="AB359" s="24"/>
    </row>
    <row r="360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  <c r="AB360" s="24"/>
    </row>
    <row r="361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  <c r="AB361" s="24"/>
    </row>
    <row r="362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  <c r="AB362" s="24"/>
    </row>
    <row r="363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  <c r="AB363" s="24"/>
    </row>
    <row r="364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  <c r="AB364" s="24"/>
    </row>
    <row r="365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  <c r="AB365" s="24"/>
    </row>
    <row r="366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  <c r="AB366" s="24"/>
    </row>
    <row r="367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  <c r="AB367" s="24"/>
    </row>
    <row r="368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  <c r="AB368" s="24"/>
    </row>
    <row r="369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  <c r="AB369" s="24"/>
    </row>
    <row r="370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  <c r="AB370" s="24"/>
    </row>
    <row r="371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  <c r="AB371" s="24"/>
    </row>
    <row r="372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  <c r="AB372" s="24"/>
    </row>
    <row r="373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  <c r="AB373" s="24"/>
    </row>
    <row r="374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  <c r="AB374" s="24"/>
    </row>
    <row r="375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  <c r="AB375" s="24"/>
    </row>
    <row r="376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  <c r="AB376" s="24"/>
    </row>
    <row r="377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  <c r="AB377" s="24"/>
    </row>
    <row r="378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  <c r="AB378" s="24"/>
    </row>
    <row r="379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  <c r="AB379" s="24"/>
    </row>
    <row r="380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  <c r="AB380" s="24"/>
    </row>
    <row r="381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  <c r="AB381" s="24"/>
    </row>
    <row r="382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  <c r="AB382" s="24"/>
    </row>
    <row r="383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  <c r="AB383" s="24"/>
    </row>
    <row r="384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  <c r="AB384" s="24"/>
    </row>
    <row r="385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  <c r="AB385" s="24"/>
    </row>
    <row r="386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  <c r="AB386" s="24"/>
    </row>
    <row r="387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  <c r="AB387" s="24"/>
    </row>
    <row r="388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  <c r="AB388" s="24"/>
    </row>
    <row r="389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  <c r="AB389" s="24"/>
    </row>
    <row r="390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  <c r="AB390" s="24"/>
    </row>
    <row r="39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  <c r="AB391" s="24"/>
    </row>
    <row r="392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  <c r="AB392" s="24"/>
    </row>
    <row r="393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  <c r="AB393" s="24"/>
    </row>
    <row r="394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  <c r="AB394" s="24"/>
    </row>
    <row r="395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  <c r="AB395" s="24"/>
    </row>
    <row r="396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  <c r="AB396" s="24"/>
    </row>
    <row r="397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  <c r="AB397" s="24"/>
    </row>
    <row r="398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</row>
    <row r="399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  <c r="AB399" s="24"/>
    </row>
    <row r="400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  <c r="AB400" s="24"/>
    </row>
    <row r="40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</row>
    <row r="402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  <c r="AB402" s="24"/>
    </row>
    <row r="403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</row>
    <row r="404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  <c r="AB404" s="24"/>
    </row>
    <row r="405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  <c r="AB405" s="24"/>
    </row>
    <row r="406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  <c r="AB406" s="24"/>
    </row>
    <row r="407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</row>
    <row r="408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  <c r="AB408" s="24"/>
    </row>
    <row r="409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  <c r="AB409" s="24"/>
    </row>
    <row r="410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  <c r="AB410" s="24"/>
    </row>
    <row r="41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  <c r="AB411" s="24"/>
    </row>
    <row r="412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  <c r="AB412" s="24"/>
    </row>
    <row r="413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  <c r="AB413" s="24"/>
    </row>
    <row r="414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  <c r="AB414" s="24"/>
    </row>
    <row r="415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  <c r="AB415" s="24"/>
    </row>
    <row r="416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  <c r="AB416" s="24"/>
    </row>
    <row r="417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  <c r="AB417" s="24"/>
    </row>
    <row r="418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  <c r="AB418" s="24"/>
    </row>
    <row r="419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  <c r="AB419" s="24"/>
    </row>
    <row r="420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  <c r="AB420" s="24"/>
    </row>
    <row r="42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  <c r="AB421" s="24"/>
    </row>
    <row r="422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  <c r="AB422" s="24"/>
    </row>
    <row r="423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  <c r="AB423" s="24"/>
    </row>
    <row r="424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  <c r="AB424" s="24"/>
    </row>
    <row r="425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  <c r="AB425" s="24"/>
    </row>
    <row r="426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  <c r="AB426" s="24"/>
    </row>
    <row r="427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  <c r="AB427" s="24"/>
    </row>
    <row r="428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  <c r="AB428" s="24"/>
    </row>
    <row r="429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  <c r="AB429" s="24"/>
    </row>
    <row r="430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  <c r="AB430" s="24"/>
    </row>
    <row r="43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  <c r="AB431" s="24"/>
    </row>
    <row r="432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  <c r="AB432" s="24"/>
    </row>
    <row r="433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  <c r="AB433" s="24"/>
    </row>
    <row r="434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</row>
    <row r="435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  <c r="AB435" s="24"/>
    </row>
    <row r="436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  <c r="AB436" s="24"/>
    </row>
    <row r="437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  <c r="AB437" s="24"/>
    </row>
    <row r="438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  <c r="AB438" s="24"/>
    </row>
    <row r="439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  <c r="AB439" s="24"/>
    </row>
    <row r="440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  <c r="AB440" s="24"/>
    </row>
    <row r="44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  <c r="AB441" s="24"/>
    </row>
    <row r="442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  <c r="AB442" s="24"/>
    </row>
    <row r="443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  <c r="AB443" s="24"/>
    </row>
    <row r="444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  <c r="AB444" s="24"/>
    </row>
    <row r="445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  <c r="AB445" s="24"/>
    </row>
    <row r="446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  <c r="AB446" s="24"/>
    </row>
    <row r="447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  <c r="AB447" s="24"/>
    </row>
    <row r="448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  <c r="AB448" s="24"/>
    </row>
    <row r="449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  <c r="AB449" s="24"/>
    </row>
    <row r="450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  <c r="AB450" s="24"/>
    </row>
    <row r="45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  <c r="AB451" s="24"/>
    </row>
    <row r="452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  <c r="AB452" s="24"/>
    </row>
    <row r="453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  <c r="AB453" s="24"/>
    </row>
    <row r="454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  <c r="AB454" s="24"/>
    </row>
    <row r="455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  <c r="AB455" s="24"/>
    </row>
    <row r="456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  <c r="AB456" s="24"/>
    </row>
    <row r="457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  <c r="AB457" s="24"/>
    </row>
    <row r="458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  <c r="AB458" s="24"/>
    </row>
    <row r="459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  <c r="AB459" s="24"/>
    </row>
    <row r="460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  <c r="AB460" s="24"/>
    </row>
    <row r="461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  <c r="AB461" s="24"/>
    </row>
    <row r="462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  <c r="AB462" s="24"/>
    </row>
    <row r="463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  <c r="AB463" s="24"/>
    </row>
    <row r="464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  <c r="AB464" s="24"/>
    </row>
    <row r="465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  <c r="AB465" s="24"/>
    </row>
    <row r="466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  <c r="AB466" s="24"/>
    </row>
    <row r="467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  <c r="AB467" s="24"/>
    </row>
    <row r="468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  <c r="AB468" s="24"/>
    </row>
    <row r="469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  <c r="AB469" s="24"/>
    </row>
    <row r="470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  <c r="AB470" s="24"/>
    </row>
    <row r="471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  <c r="AB471" s="24"/>
    </row>
    <row r="472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  <c r="AB472" s="24"/>
    </row>
    <row r="473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  <c r="AB473" s="24"/>
    </row>
    <row r="474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  <c r="AB474" s="24"/>
    </row>
    <row r="475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  <c r="AB475" s="24"/>
    </row>
    <row r="476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  <c r="AB476" s="24"/>
    </row>
    <row r="477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  <c r="AB477" s="24"/>
    </row>
    <row r="478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  <c r="AB478" s="24"/>
    </row>
    <row r="479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  <c r="AB479" s="24"/>
    </row>
    <row r="480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  <c r="AB480" s="24"/>
    </row>
    <row r="481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  <c r="AB481" s="24"/>
    </row>
    <row r="482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  <c r="AB482" s="24"/>
    </row>
    <row r="483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  <c r="AB483" s="24"/>
    </row>
    <row r="484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  <c r="AB484" s="24"/>
    </row>
    <row r="485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  <c r="AB485" s="24"/>
    </row>
    <row r="486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  <c r="AB486" s="24"/>
    </row>
    <row r="487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  <c r="AB487" s="24"/>
    </row>
    <row r="488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  <c r="AB488" s="24"/>
    </row>
    <row r="489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  <c r="AB489" s="24"/>
    </row>
    <row r="490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  <c r="AB490" s="24"/>
    </row>
    <row r="491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  <c r="AB491" s="24"/>
    </row>
    <row r="492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  <c r="AB492" s="24"/>
    </row>
    <row r="493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  <c r="AB493" s="24"/>
    </row>
    <row r="494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  <c r="AB494" s="24"/>
    </row>
    <row r="495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  <c r="AB495" s="24"/>
    </row>
    <row r="496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  <c r="AB496" s="24"/>
    </row>
    <row r="497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  <c r="AB497" s="24"/>
    </row>
    <row r="498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  <c r="AB498" s="24"/>
    </row>
    <row r="499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  <c r="AB499" s="24"/>
    </row>
    <row r="500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  <c r="AB500" s="24"/>
    </row>
    <row r="501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  <c r="AB501" s="24"/>
    </row>
    <row r="502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  <c r="AB502" s="24"/>
    </row>
    <row r="503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  <c r="AB503" s="24"/>
    </row>
    <row r="504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  <c r="AB504" s="24"/>
    </row>
    <row r="505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  <c r="AB505" s="24"/>
    </row>
    <row r="506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  <c r="AB506" s="24"/>
    </row>
    <row r="507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  <c r="AB507" s="24"/>
    </row>
    <row r="508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  <c r="AB508" s="24"/>
    </row>
    <row r="509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  <c r="AB509" s="24"/>
    </row>
    <row r="510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  <c r="AB510" s="24"/>
    </row>
    <row r="511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  <c r="AB511" s="24"/>
    </row>
    <row r="512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  <c r="AB512" s="24"/>
    </row>
    <row r="513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  <c r="AB513" s="24"/>
    </row>
    <row r="514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  <c r="AB514" s="24"/>
    </row>
    <row r="515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  <c r="AB515" s="24"/>
    </row>
    <row r="516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  <c r="AB516" s="24"/>
    </row>
    <row r="517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  <c r="AB517" s="24"/>
    </row>
    <row r="518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  <c r="AB518" s="24"/>
    </row>
    <row r="519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  <c r="AB519" s="24"/>
    </row>
    <row r="520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  <c r="AB520" s="24"/>
    </row>
    <row r="521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  <c r="AB521" s="24"/>
    </row>
    <row r="522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  <c r="AB522" s="24"/>
    </row>
    <row r="523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  <c r="AB523" s="24"/>
    </row>
    <row r="524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  <c r="AB524" s="24"/>
    </row>
    <row r="525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  <c r="AB525" s="24"/>
    </row>
    <row r="526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  <c r="AB526" s="24"/>
    </row>
    <row r="527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  <c r="AB527" s="24"/>
    </row>
    <row r="528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  <c r="AB528" s="24"/>
    </row>
    <row r="529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  <c r="AB529" s="24"/>
    </row>
    <row r="530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  <c r="AB530" s="24"/>
    </row>
    <row r="531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  <c r="AB531" s="24"/>
    </row>
    <row r="532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  <c r="AB532" s="24"/>
    </row>
    <row r="533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  <c r="AB533" s="24"/>
    </row>
    <row r="534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  <c r="AB534" s="24"/>
    </row>
    <row r="535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  <c r="AB535" s="24"/>
    </row>
    <row r="536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  <c r="AB536" s="24"/>
    </row>
    <row r="537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  <c r="AB537" s="24"/>
    </row>
    <row r="538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  <c r="AB538" s="24"/>
    </row>
    <row r="539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  <c r="AB539" s="24"/>
    </row>
    <row r="540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  <c r="AB540" s="24"/>
    </row>
    <row r="541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  <c r="AB541" s="24"/>
    </row>
    <row r="542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  <c r="AB542" s="24"/>
    </row>
    <row r="543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  <c r="AB543" s="24"/>
    </row>
    <row r="544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  <c r="AB544" s="24"/>
    </row>
    <row r="545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  <c r="AB545" s="24"/>
    </row>
    <row r="546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  <c r="AB546" s="24"/>
    </row>
    <row r="547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  <c r="AB547" s="24"/>
    </row>
    <row r="548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  <c r="AB548" s="24"/>
    </row>
    <row r="549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  <c r="AB549" s="24"/>
    </row>
    <row r="550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  <c r="AB550" s="24"/>
    </row>
    <row r="551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  <c r="AB551" s="24"/>
    </row>
    <row r="552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  <c r="AB552" s="24"/>
    </row>
    <row r="553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  <c r="AB553" s="24"/>
    </row>
    <row r="554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  <c r="AB554" s="24"/>
    </row>
    <row r="555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  <c r="AB555" s="24"/>
    </row>
    <row r="556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  <c r="AB556" s="24"/>
    </row>
    <row r="557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  <c r="AB557" s="24"/>
    </row>
    <row r="558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  <c r="AB558" s="24"/>
    </row>
    <row r="559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  <c r="AB559" s="24"/>
    </row>
    <row r="560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  <c r="AB560" s="24"/>
    </row>
    <row r="561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  <c r="AB561" s="24"/>
    </row>
    <row r="562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  <c r="AB562" s="24"/>
    </row>
    <row r="563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  <c r="AB563" s="24"/>
    </row>
    <row r="564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  <c r="AB564" s="24"/>
    </row>
    <row r="565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  <c r="AB565" s="24"/>
    </row>
    <row r="566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  <c r="AB566" s="24"/>
    </row>
    <row r="567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  <c r="AB567" s="24"/>
    </row>
    <row r="568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  <c r="AB568" s="24"/>
    </row>
    <row r="569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  <c r="AB569" s="24"/>
    </row>
    <row r="570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  <c r="AB570" s="24"/>
    </row>
    <row r="571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  <c r="AB571" s="24"/>
    </row>
    <row r="572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  <c r="AB572" s="24"/>
    </row>
    <row r="573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  <c r="AB573" s="24"/>
    </row>
    <row r="574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  <c r="AB574" s="24"/>
    </row>
    <row r="575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  <c r="AB575" s="24"/>
    </row>
    <row r="576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  <c r="AB576" s="24"/>
    </row>
    <row r="577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  <c r="AB577" s="24"/>
    </row>
    <row r="578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  <c r="AB578" s="24"/>
    </row>
    <row r="579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  <c r="AB579" s="24"/>
    </row>
    <row r="580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  <c r="AB580" s="24"/>
    </row>
    <row r="581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  <c r="AB581" s="24"/>
    </row>
    <row r="582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  <c r="AB582" s="24"/>
    </row>
    <row r="583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  <c r="AB583" s="24"/>
    </row>
    <row r="584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  <c r="AB584" s="24"/>
    </row>
    <row r="585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  <c r="AB585" s="24"/>
    </row>
    <row r="586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  <c r="AB586" s="24"/>
    </row>
    <row r="587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  <c r="AB587" s="24"/>
    </row>
    <row r="588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  <c r="AB588" s="24"/>
    </row>
    <row r="589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  <c r="AB589" s="24"/>
    </row>
    <row r="590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  <c r="AB590" s="24"/>
    </row>
    <row r="591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  <c r="AB591" s="24"/>
    </row>
    <row r="592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  <c r="AB592" s="24"/>
    </row>
    <row r="593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  <c r="AB593" s="24"/>
    </row>
    <row r="594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  <c r="AB594" s="24"/>
    </row>
    <row r="595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  <c r="AB595" s="24"/>
    </row>
    <row r="596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  <c r="AB596" s="24"/>
    </row>
    <row r="597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  <c r="AB597" s="24"/>
    </row>
    <row r="598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  <c r="AB598" s="24"/>
    </row>
    <row r="599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  <c r="AB599" s="24"/>
    </row>
    <row r="600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  <c r="AB600" s="24"/>
    </row>
    <row r="601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  <c r="AB601" s="24"/>
    </row>
    <row r="602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  <c r="AB602" s="24"/>
    </row>
    <row r="603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  <c r="AB603" s="24"/>
    </row>
    <row r="604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  <c r="AB604" s="24"/>
    </row>
    <row r="605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  <c r="AB605" s="24"/>
    </row>
    <row r="606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  <c r="AB606" s="24"/>
    </row>
    <row r="607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  <c r="AB607" s="24"/>
    </row>
    <row r="608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  <c r="AB608" s="24"/>
    </row>
    <row r="609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  <c r="AB609" s="24"/>
    </row>
    <row r="610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  <c r="AB610" s="24"/>
    </row>
    <row r="611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  <c r="AB611" s="24"/>
    </row>
    <row r="612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  <c r="AB612" s="24"/>
    </row>
    <row r="613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  <c r="AB613" s="24"/>
    </row>
    <row r="614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  <c r="AB614" s="24"/>
    </row>
    <row r="615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  <c r="AB615" s="24"/>
    </row>
    <row r="616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  <c r="AB616" s="24"/>
    </row>
    <row r="617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  <c r="AB617" s="24"/>
    </row>
    <row r="618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  <c r="AB618" s="24"/>
    </row>
    <row r="619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  <c r="AB619" s="24"/>
    </row>
    <row r="620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  <c r="AB620" s="24"/>
    </row>
    <row r="621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  <c r="AB621" s="24"/>
    </row>
    <row r="622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  <c r="AB622" s="24"/>
    </row>
    <row r="623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  <c r="AB623" s="24"/>
    </row>
    <row r="624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  <c r="AB624" s="24"/>
    </row>
    <row r="625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  <c r="AB625" s="24"/>
    </row>
    <row r="626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  <c r="AB626" s="24"/>
    </row>
    <row r="627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  <c r="AB627" s="24"/>
    </row>
    <row r="628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  <c r="AB628" s="24"/>
    </row>
    <row r="629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  <c r="AB629" s="24"/>
    </row>
    <row r="630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  <c r="AB630" s="24"/>
    </row>
    <row r="631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  <c r="AB631" s="24"/>
    </row>
    <row r="632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  <c r="AB632" s="24"/>
    </row>
    <row r="633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  <c r="AB633" s="24"/>
    </row>
    <row r="634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  <c r="AB634" s="24"/>
    </row>
    <row r="635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  <c r="AB635" s="24"/>
    </row>
    <row r="636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  <c r="AB636" s="24"/>
    </row>
    <row r="637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  <c r="AB637" s="24"/>
    </row>
    <row r="638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  <c r="AB638" s="24"/>
    </row>
    <row r="639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  <c r="AB639" s="24"/>
    </row>
    <row r="640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  <c r="AB640" s="24"/>
    </row>
    <row r="641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  <c r="AB641" s="24"/>
    </row>
    <row r="642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  <c r="AB642" s="24"/>
    </row>
    <row r="643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  <c r="AB643" s="24"/>
    </row>
    <row r="644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  <c r="AB644" s="24"/>
    </row>
    <row r="645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  <c r="AB645" s="24"/>
    </row>
    <row r="646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  <c r="AB646" s="24"/>
    </row>
    <row r="647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  <c r="AB647" s="24"/>
    </row>
    <row r="648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  <c r="AB648" s="24"/>
    </row>
    <row r="649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  <c r="AB649" s="24"/>
    </row>
    <row r="650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  <c r="AB650" s="24"/>
    </row>
    <row r="651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  <c r="AB651" s="24"/>
    </row>
    <row r="652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  <c r="AB652" s="24"/>
    </row>
    <row r="653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  <c r="AB653" s="24"/>
    </row>
    <row r="654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  <c r="AB654" s="24"/>
    </row>
    <row r="655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  <c r="AB655" s="24"/>
    </row>
    <row r="656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  <c r="AB656" s="24"/>
    </row>
    <row r="657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  <c r="AB657" s="24"/>
    </row>
    <row r="658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  <c r="AB658" s="24"/>
    </row>
    <row r="659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  <c r="AB659" s="24"/>
    </row>
    <row r="660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  <c r="AB660" s="24"/>
    </row>
    <row r="661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  <c r="AB661" s="24"/>
    </row>
    <row r="662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  <c r="AB662" s="24"/>
    </row>
    <row r="663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  <c r="AB663" s="24"/>
    </row>
    <row r="664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  <c r="AB664" s="24"/>
    </row>
    <row r="665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  <c r="AB665" s="24"/>
    </row>
    <row r="666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  <c r="AB666" s="24"/>
    </row>
    <row r="667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  <c r="AB667" s="24"/>
    </row>
    <row r="668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  <c r="AB668" s="24"/>
    </row>
    <row r="669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  <c r="AB669" s="24"/>
    </row>
    <row r="670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  <c r="AB670" s="24"/>
    </row>
    <row r="671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  <c r="AB671" s="24"/>
    </row>
    <row r="672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  <c r="AB672" s="24"/>
    </row>
    <row r="673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  <c r="AB673" s="24"/>
    </row>
    <row r="674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  <c r="AB674" s="24"/>
    </row>
    <row r="675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  <c r="AB675" s="24"/>
    </row>
    <row r="676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  <c r="AB676" s="24"/>
    </row>
    <row r="677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  <c r="AB677" s="24"/>
    </row>
    <row r="678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  <c r="AB678" s="24"/>
    </row>
    <row r="679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  <c r="AB679" s="24"/>
    </row>
    <row r="680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  <c r="AB680" s="24"/>
    </row>
    <row r="681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  <c r="AB681" s="24"/>
    </row>
    <row r="682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  <c r="AB682" s="24"/>
    </row>
    <row r="683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  <c r="AB683" s="24"/>
    </row>
    <row r="684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  <c r="AB684" s="24"/>
    </row>
    <row r="685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  <c r="AB685" s="24"/>
    </row>
    <row r="686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  <c r="AB686" s="24"/>
    </row>
    <row r="687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  <c r="AB687" s="24"/>
    </row>
    <row r="688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  <c r="AB688" s="24"/>
    </row>
    <row r="689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  <c r="AB689" s="24"/>
    </row>
    <row r="690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  <c r="AB690" s="24"/>
    </row>
    <row r="691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  <c r="AB691" s="24"/>
    </row>
    <row r="692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  <c r="AA692" s="24"/>
      <c r="AB692" s="24"/>
    </row>
    <row r="693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  <c r="AB693" s="24"/>
    </row>
    <row r="694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  <c r="AB694" s="24"/>
    </row>
    <row r="695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  <c r="AB695" s="24"/>
    </row>
    <row r="696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  <c r="AB696" s="24"/>
    </row>
    <row r="697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  <c r="AB697" s="24"/>
    </row>
    <row r="698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  <c r="AB698" s="24"/>
    </row>
    <row r="699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  <c r="AB699" s="24"/>
    </row>
    <row r="700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  <c r="AB700" s="24"/>
    </row>
    <row r="701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  <c r="AB701" s="24"/>
    </row>
    <row r="702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  <c r="AB702" s="24"/>
    </row>
    <row r="703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  <c r="AB703" s="24"/>
    </row>
    <row r="704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  <c r="AB704" s="24"/>
    </row>
    <row r="705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  <c r="AB705" s="24"/>
    </row>
    <row r="706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  <c r="AB706" s="24"/>
    </row>
    <row r="707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  <c r="AB707" s="24"/>
    </row>
    <row r="708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  <c r="AB708" s="24"/>
    </row>
    <row r="709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  <c r="AB709" s="24"/>
    </row>
    <row r="710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  <c r="AB710" s="24"/>
    </row>
    <row r="711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  <c r="AB711" s="24"/>
    </row>
    <row r="712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  <c r="AB712" s="24"/>
    </row>
    <row r="713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  <c r="AB713" s="24"/>
    </row>
    <row r="714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  <c r="AB714" s="24"/>
    </row>
    <row r="715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  <c r="AB715" s="24"/>
    </row>
    <row r="716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  <c r="AB716" s="24"/>
    </row>
    <row r="717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  <c r="AB717" s="24"/>
    </row>
    <row r="718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  <c r="AB718" s="24"/>
    </row>
    <row r="719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  <c r="AB719" s="24"/>
    </row>
    <row r="720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  <c r="AB720" s="24"/>
    </row>
    <row r="721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  <c r="AB721" s="24"/>
    </row>
    <row r="722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  <c r="AB722" s="24"/>
    </row>
    <row r="723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  <c r="AB723" s="24"/>
    </row>
    <row r="724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  <c r="AB724" s="24"/>
    </row>
    <row r="725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  <c r="AB725" s="24"/>
    </row>
    <row r="726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  <c r="AB726" s="24"/>
    </row>
    <row r="727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  <c r="AB727" s="24"/>
    </row>
    <row r="728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  <c r="AB728" s="24"/>
    </row>
    <row r="729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  <c r="AB729" s="24"/>
    </row>
    <row r="730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  <c r="AB730" s="24"/>
    </row>
    <row r="73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  <c r="AB731" s="24"/>
    </row>
    <row r="732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  <c r="AB732" s="24"/>
    </row>
    <row r="733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  <c r="AB733" s="24"/>
    </row>
    <row r="734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  <c r="AB734" s="24"/>
    </row>
    <row r="735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  <c r="AB735" s="24"/>
    </row>
    <row r="736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  <c r="AB736" s="24"/>
    </row>
    <row r="737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  <c r="AB737" s="24"/>
    </row>
    <row r="738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  <c r="AB738" s="24"/>
    </row>
    <row r="739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  <c r="AB739" s="24"/>
    </row>
    <row r="740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  <c r="AB740" s="24"/>
    </row>
    <row r="741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  <c r="AB741" s="24"/>
    </row>
    <row r="742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  <c r="AB742" s="24"/>
    </row>
    <row r="743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  <c r="AB743" s="24"/>
    </row>
    <row r="744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  <c r="AB744" s="24"/>
    </row>
    <row r="745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  <c r="AB745" s="24"/>
    </row>
    <row r="746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  <c r="AB746" s="24"/>
    </row>
    <row r="747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  <c r="AB747" s="24"/>
    </row>
    <row r="748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  <c r="AB748" s="24"/>
    </row>
    <row r="749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  <c r="AB749" s="24"/>
    </row>
    <row r="750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  <c r="AB750" s="24"/>
    </row>
    <row r="751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  <c r="AB751" s="24"/>
    </row>
    <row r="752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  <c r="AB752" s="24"/>
    </row>
    <row r="753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  <c r="AB753" s="24"/>
    </row>
    <row r="754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  <c r="AB754" s="24"/>
    </row>
    <row r="755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  <c r="AB755" s="24"/>
    </row>
    <row r="756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  <c r="AB756" s="24"/>
    </row>
    <row r="757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  <c r="AB757" s="24"/>
    </row>
    <row r="758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  <c r="AB758" s="24"/>
    </row>
    <row r="759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  <c r="AB759" s="24"/>
    </row>
    <row r="760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  <c r="AB760" s="24"/>
    </row>
    <row r="761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  <c r="AB761" s="24"/>
    </row>
    <row r="762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  <c r="AB762" s="24"/>
    </row>
    <row r="763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  <c r="AB763" s="24"/>
    </row>
    <row r="764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  <c r="AB764" s="24"/>
    </row>
    <row r="765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  <c r="AB765" s="24"/>
    </row>
    <row r="766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  <c r="AB766" s="24"/>
    </row>
    <row r="767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  <c r="AB767" s="24"/>
    </row>
    <row r="768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  <c r="AB768" s="24"/>
    </row>
    <row r="769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  <c r="AB769" s="24"/>
    </row>
    <row r="770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  <c r="AB770" s="24"/>
    </row>
    <row r="771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  <c r="AB771" s="24"/>
    </row>
    <row r="772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  <c r="AB772" s="24"/>
    </row>
    <row r="773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  <c r="AB773" s="24"/>
    </row>
    <row r="774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  <c r="AB774" s="24"/>
    </row>
    <row r="775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  <c r="AB775" s="24"/>
    </row>
    <row r="776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  <c r="AB776" s="24"/>
    </row>
    <row r="777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  <c r="AA777" s="24"/>
      <c r="AB777" s="24"/>
    </row>
    <row r="778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  <c r="AA778" s="24"/>
      <c r="AB778" s="24"/>
    </row>
    <row r="779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  <c r="AA779" s="24"/>
      <c r="AB779" s="24"/>
    </row>
    <row r="780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  <c r="AA780" s="24"/>
      <c r="AB780" s="24"/>
    </row>
    <row r="781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  <c r="AA781" s="24"/>
      <c r="AB781" s="24"/>
    </row>
    <row r="782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  <c r="AA782" s="24"/>
      <c r="AB782" s="24"/>
    </row>
    <row r="783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  <c r="AA783" s="24"/>
      <c r="AB783" s="24"/>
    </row>
    <row r="784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  <c r="AB784" s="24"/>
    </row>
    <row r="785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  <c r="AA785" s="24"/>
      <c r="AB785" s="24"/>
    </row>
    <row r="786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  <c r="AA786" s="24"/>
      <c r="AB786" s="24"/>
    </row>
    <row r="787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  <c r="AA787" s="24"/>
      <c r="AB787" s="24"/>
    </row>
    <row r="788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  <c r="AA788" s="24"/>
      <c r="AB788" s="24"/>
    </row>
    <row r="789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  <c r="AA789" s="24"/>
      <c r="AB789" s="24"/>
    </row>
    <row r="790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  <c r="AA790" s="24"/>
      <c r="AB790" s="24"/>
    </row>
    <row r="791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  <c r="AA791" s="24"/>
      <c r="AB791" s="24"/>
    </row>
    <row r="792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  <c r="AA792" s="24"/>
      <c r="AB792" s="24"/>
    </row>
    <row r="793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  <c r="AA793" s="24"/>
      <c r="AB793" s="24"/>
    </row>
    <row r="794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  <c r="AA794" s="24"/>
      <c r="AB794" s="24"/>
    </row>
    <row r="795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  <c r="AA795" s="24"/>
      <c r="AB795" s="24"/>
    </row>
    <row r="796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  <c r="AA796" s="24"/>
      <c r="AB796" s="24"/>
    </row>
    <row r="797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  <c r="AA797" s="24"/>
      <c r="AB797" s="24"/>
    </row>
    <row r="798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  <c r="AA798" s="24"/>
      <c r="AB798" s="24"/>
    </row>
    <row r="799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  <c r="AA799" s="24"/>
      <c r="AB799" s="24"/>
    </row>
    <row r="800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  <c r="AA800" s="24"/>
      <c r="AB800" s="24"/>
    </row>
    <row r="801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  <c r="AA801" s="24"/>
      <c r="AB801" s="24"/>
    </row>
    <row r="802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  <c r="AA802" s="24"/>
      <c r="AB802" s="24"/>
    </row>
    <row r="803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  <c r="AA803" s="24"/>
      <c r="AB803" s="24"/>
    </row>
    <row r="804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  <c r="AA804" s="24"/>
      <c r="AB804" s="24"/>
    </row>
    <row r="805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  <c r="AA805" s="24"/>
      <c r="AB805" s="24"/>
    </row>
    <row r="806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  <c r="AA806" s="24"/>
      <c r="AB806" s="24"/>
    </row>
    <row r="807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  <c r="AA807" s="24"/>
      <c r="AB807" s="24"/>
    </row>
    <row r="808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  <c r="AA808" s="24"/>
      <c r="AB808" s="24"/>
    </row>
    <row r="809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  <c r="AA809" s="24"/>
      <c r="AB809" s="24"/>
    </row>
    <row r="810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  <c r="AA810" s="24"/>
      <c r="AB810" s="24"/>
    </row>
    <row r="811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  <c r="AA811" s="24"/>
      <c r="AB811" s="24"/>
    </row>
    <row r="812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  <c r="AA812" s="24"/>
      <c r="AB812" s="24"/>
    </row>
    <row r="813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  <c r="AA813" s="24"/>
      <c r="AB813" s="24"/>
    </row>
    <row r="814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  <c r="AA814" s="24"/>
      <c r="AB814" s="24"/>
    </row>
    <row r="815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  <c r="AA815" s="24"/>
      <c r="AB815" s="24"/>
    </row>
    <row r="816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  <c r="AA816" s="24"/>
      <c r="AB816" s="24"/>
    </row>
    <row r="817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  <c r="AA817" s="24"/>
      <c r="AB817" s="24"/>
    </row>
    <row r="818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  <c r="AA818" s="24"/>
      <c r="AB818" s="24"/>
    </row>
    <row r="819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  <c r="AA819" s="24"/>
      <c r="AB819" s="24"/>
    </row>
    <row r="820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  <c r="AA820" s="24"/>
      <c r="AB820" s="24"/>
    </row>
    <row r="821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  <c r="AA821" s="24"/>
      <c r="AB821" s="24"/>
    </row>
    <row r="822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  <c r="AA822" s="24"/>
      <c r="AB822" s="24"/>
    </row>
    <row r="823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  <c r="AA823" s="24"/>
      <c r="AB823" s="24"/>
    </row>
    <row r="824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  <c r="AA824" s="24"/>
      <c r="AB824" s="24"/>
    </row>
    <row r="825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  <c r="AA825" s="24"/>
      <c r="AB825" s="24"/>
    </row>
    <row r="826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  <c r="AA826" s="24"/>
      <c r="AB826" s="24"/>
    </row>
    <row r="827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  <c r="AA827" s="24"/>
      <c r="AB827" s="24"/>
    </row>
    <row r="828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  <c r="AA828" s="24"/>
      <c r="AB828" s="24"/>
    </row>
    <row r="829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  <c r="AB829" s="24"/>
    </row>
    <row r="830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  <c r="AA830" s="24"/>
      <c r="AB830" s="24"/>
    </row>
    <row r="831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  <c r="AA831" s="24"/>
      <c r="AB831" s="24"/>
    </row>
    <row r="832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  <c r="AA832" s="24"/>
      <c r="AB832" s="24"/>
    </row>
    <row r="833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  <c r="AA833" s="24"/>
      <c r="AB833" s="24"/>
    </row>
    <row r="834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  <c r="AA834" s="24"/>
      <c r="AB834" s="24"/>
    </row>
    <row r="835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  <c r="AA835" s="24"/>
      <c r="AB835" s="24"/>
    </row>
    <row r="836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  <c r="AA836" s="24"/>
      <c r="AB836" s="24"/>
    </row>
    <row r="837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  <c r="AA837" s="24"/>
      <c r="AB837" s="24"/>
    </row>
    <row r="838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  <c r="AA838" s="24"/>
      <c r="AB838" s="24"/>
    </row>
    <row r="839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  <c r="AA839" s="24"/>
      <c r="AB839" s="24"/>
    </row>
    <row r="840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  <c r="AA840" s="24"/>
      <c r="AB840" s="24"/>
    </row>
    <row r="841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  <c r="AA841" s="24"/>
      <c r="AB841" s="24"/>
    </row>
    <row r="842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  <c r="AA842" s="24"/>
      <c r="AB842" s="24"/>
    </row>
    <row r="843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  <c r="AA843" s="24"/>
      <c r="AB843" s="24"/>
    </row>
    <row r="844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  <c r="AA844" s="24"/>
      <c r="AB844" s="24"/>
    </row>
    <row r="845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  <c r="AA845" s="24"/>
      <c r="AB845" s="24"/>
    </row>
    <row r="846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  <c r="AA846" s="24"/>
      <c r="AB846" s="24"/>
    </row>
    <row r="847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  <c r="AA847" s="24"/>
      <c r="AB847" s="24"/>
    </row>
    <row r="848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  <c r="AA848" s="24"/>
      <c r="AB848" s="24"/>
    </row>
    <row r="849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  <c r="AA849" s="24"/>
      <c r="AB849" s="24"/>
    </row>
    <row r="850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  <c r="AA850" s="24"/>
      <c r="AB850" s="24"/>
    </row>
    <row r="851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  <c r="AA851" s="24"/>
      <c r="AB851" s="24"/>
    </row>
    <row r="852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  <c r="AA852" s="24"/>
      <c r="AB852" s="24"/>
    </row>
    <row r="853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  <c r="AA853" s="24"/>
      <c r="AB853" s="24"/>
    </row>
    <row r="854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  <c r="AA854" s="24"/>
      <c r="AB854" s="24"/>
    </row>
    <row r="855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  <c r="AA855" s="24"/>
      <c r="AB855" s="24"/>
    </row>
    <row r="856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  <c r="AA856" s="24"/>
      <c r="AB856" s="24"/>
    </row>
    <row r="857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  <c r="AA857" s="24"/>
      <c r="AB857" s="24"/>
    </row>
    <row r="858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  <c r="AA858" s="24"/>
      <c r="AB858" s="24"/>
    </row>
    <row r="859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  <c r="AA859" s="24"/>
      <c r="AB859" s="24"/>
    </row>
    <row r="860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  <c r="AA860" s="24"/>
      <c r="AB860" s="24"/>
    </row>
    <row r="861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  <c r="AA861" s="24"/>
      <c r="AB861" s="24"/>
    </row>
    <row r="862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  <c r="AB862" s="24"/>
    </row>
    <row r="863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  <c r="AA863" s="24"/>
      <c r="AB863" s="24"/>
    </row>
    <row r="864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  <c r="AA864" s="24"/>
      <c r="AB864" s="24"/>
    </row>
    <row r="865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  <c r="AA865" s="24"/>
      <c r="AB865" s="24"/>
    </row>
    <row r="866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  <c r="AA866" s="24"/>
      <c r="AB866" s="24"/>
    </row>
    <row r="867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  <c r="AA867" s="24"/>
      <c r="AB867" s="24"/>
    </row>
    <row r="868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  <c r="AA868" s="24"/>
      <c r="AB868" s="24"/>
    </row>
    <row r="869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  <c r="AA869" s="24"/>
      <c r="AB869" s="24"/>
    </row>
    <row r="870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  <c r="AA870" s="24"/>
      <c r="AB870" s="24"/>
    </row>
    <row r="871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  <c r="AA871" s="24"/>
      <c r="AB871" s="24"/>
    </row>
    <row r="872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  <c r="AA872" s="24"/>
      <c r="AB872" s="24"/>
    </row>
    <row r="873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  <c r="AA873" s="24"/>
      <c r="AB873" s="24"/>
    </row>
    <row r="874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  <c r="AA874" s="24"/>
      <c r="AB874" s="24"/>
    </row>
    <row r="875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  <c r="AA875" s="24"/>
      <c r="AB875" s="24"/>
    </row>
    <row r="876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  <c r="AA876" s="24"/>
      <c r="AB876" s="24"/>
    </row>
    <row r="877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  <c r="AA877" s="24"/>
      <c r="AB877" s="24"/>
    </row>
    <row r="878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  <c r="AA878" s="24"/>
      <c r="AB878" s="24"/>
    </row>
    <row r="879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  <c r="AA879" s="24"/>
      <c r="AB879" s="24"/>
    </row>
    <row r="880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  <c r="AA880" s="24"/>
      <c r="AB880" s="24"/>
    </row>
    <row r="881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  <c r="AA881" s="24"/>
      <c r="AB881" s="24"/>
    </row>
    <row r="882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  <c r="AA882" s="24"/>
      <c r="AB882" s="24"/>
    </row>
    <row r="883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  <c r="AA883" s="24"/>
      <c r="AB883" s="24"/>
    </row>
    <row r="884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  <c r="AA884" s="24"/>
      <c r="AB884" s="24"/>
    </row>
    <row r="885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  <c r="AA885" s="24"/>
      <c r="AB885" s="24"/>
    </row>
    <row r="886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  <c r="AA886" s="24"/>
      <c r="AB886" s="24"/>
    </row>
    <row r="887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  <c r="AA887" s="24"/>
      <c r="AB887" s="24"/>
    </row>
    <row r="888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  <c r="AA888" s="24"/>
      <c r="AB888" s="24"/>
    </row>
    <row r="889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  <c r="AA889" s="24"/>
      <c r="AB889" s="24"/>
    </row>
    <row r="890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  <c r="AA890" s="24"/>
      <c r="AB890" s="24"/>
    </row>
    <row r="891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  <c r="AA891" s="24"/>
      <c r="AB891" s="24"/>
    </row>
    <row r="892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  <c r="AA892" s="24"/>
      <c r="AB892" s="24"/>
    </row>
    <row r="893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  <c r="AA893" s="24"/>
      <c r="AB893" s="24"/>
    </row>
    <row r="894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  <c r="AA894" s="24"/>
      <c r="AB894" s="24"/>
    </row>
    <row r="895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  <c r="AA895" s="24"/>
      <c r="AB895" s="24"/>
    </row>
    <row r="896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  <c r="AA896" s="24"/>
      <c r="AB896" s="24"/>
    </row>
    <row r="897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  <c r="AA897" s="24"/>
      <c r="AB897" s="24"/>
    </row>
    <row r="898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  <c r="AA898" s="24"/>
      <c r="AB898" s="24"/>
    </row>
    <row r="899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  <c r="AA899" s="24"/>
      <c r="AB899" s="24"/>
    </row>
    <row r="900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  <c r="AA900" s="24"/>
      <c r="AB900" s="24"/>
    </row>
    <row r="901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  <c r="AA901" s="24"/>
      <c r="AB901" s="24"/>
    </row>
    <row r="902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  <c r="AA902" s="24"/>
      <c r="AB902" s="24"/>
    </row>
    <row r="903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  <c r="AA903" s="24"/>
      <c r="AB903" s="24"/>
    </row>
    <row r="904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  <c r="AA904" s="24"/>
      <c r="AB904" s="24"/>
    </row>
    <row r="905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  <c r="AA905" s="24"/>
      <c r="AB905" s="24"/>
    </row>
    <row r="906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  <c r="AA906" s="24"/>
      <c r="AB906" s="24"/>
    </row>
    <row r="907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  <c r="AA907" s="24"/>
      <c r="AB907" s="24"/>
    </row>
    <row r="908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  <c r="AA908" s="24"/>
      <c r="AB908" s="24"/>
    </row>
    <row r="909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  <c r="AA909" s="24"/>
      <c r="AB909" s="24"/>
    </row>
    <row r="910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  <c r="AA910" s="24"/>
      <c r="AB910" s="24"/>
    </row>
    <row r="911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  <c r="AA911" s="24"/>
      <c r="AB911" s="24"/>
    </row>
    <row r="912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  <c r="AA912" s="24"/>
      <c r="AB912" s="24"/>
    </row>
    <row r="913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  <c r="AA913" s="24"/>
      <c r="AB913" s="24"/>
    </row>
    <row r="914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  <c r="AA914" s="24"/>
      <c r="AB914" s="24"/>
    </row>
    <row r="915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  <c r="AA915" s="24"/>
      <c r="AB915" s="24"/>
    </row>
    <row r="916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  <c r="AA916" s="24"/>
      <c r="AB916" s="24"/>
    </row>
    <row r="917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  <c r="AA917" s="24"/>
      <c r="AB917" s="24"/>
    </row>
    <row r="918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  <c r="AA918" s="24"/>
      <c r="AB918" s="24"/>
    </row>
    <row r="919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  <c r="AA919" s="24"/>
      <c r="AB919" s="24"/>
    </row>
    <row r="920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  <c r="AA920" s="24"/>
      <c r="AB920" s="24"/>
    </row>
    <row r="921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  <c r="AA921" s="24"/>
      <c r="AB921" s="24"/>
    </row>
    <row r="922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  <c r="AA922" s="24"/>
      <c r="AB922" s="24"/>
    </row>
    <row r="923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  <c r="AA923" s="24"/>
      <c r="AB923" s="24"/>
    </row>
    <row r="924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  <c r="AA924" s="24"/>
      <c r="AB924" s="24"/>
    </row>
    <row r="925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  <c r="AA925" s="24"/>
      <c r="AB925" s="24"/>
    </row>
    <row r="926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  <c r="AA926" s="24"/>
      <c r="AB926" s="24"/>
    </row>
    <row r="927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  <c r="AA927" s="24"/>
      <c r="AB927" s="24"/>
    </row>
    <row r="928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  <c r="AA928" s="24"/>
      <c r="AB928" s="24"/>
    </row>
    <row r="929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  <c r="AA929" s="24"/>
      <c r="AB929" s="24"/>
    </row>
    <row r="930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  <c r="AA930" s="24"/>
      <c r="AB930" s="24"/>
    </row>
    <row r="931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  <c r="AA931" s="24"/>
      <c r="AB931" s="24"/>
    </row>
    <row r="932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  <c r="AA932" s="24"/>
      <c r="AB932" s="24"/>
    </row>
    <row r="933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  <c r="AA933" s="24"/>
      <c r="AB933" s="24"/>
    </row>
    <row r="934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  <c r="AA934" s="24"/>
      <c r="AB934" s="24"/>
    </row>
    <row r="935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  <c r="AA935" s="24"/>
      <c r="AB935" s="24"/>
    </row>
    <row r="936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  <c r="AA936" s="24"/>
      <c r="AB936" s="24"/>
    </row>
    <row r="937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  <c r="AA937" s="24"/>
      <c r="AB937" s="24"/>
    </row>
    <row r="938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  <c r="AA938" s="24"/>
      <c r="AB938" s="24"/>
    </row>
    <row r="939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  <c r="AA939" s="24"/>
      <c r="AB939" s="24"/>
    </row>
    <row r="940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  <c r="AA940" s="24"/>
      <c r="AB940" s="24"/>
    </row>
    <row r="941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  <c r="AA941" s="24"/>
      <c r="AB941" s="24"/>
    </row>
    <row r="942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  <c r="AA942" s="24"/>
      <c r="AB942" s="24"/>
    </row>
    <row r="943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  <c r="AA943" s="24"/>
      <c r="AB943" s="24"/>
    </row>
    <row r="944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  <c r="AA944" s="24"/>
      <c r="AB944" s="24"/>
    </row>
    <row r="945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  <c r="AA945" s="24"/>
      <c r="AB945" s="24"/>
    </row>
    <row r="946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  <c r="AB946" s="24"/>
    </row>
    <row r="947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  <c r="AA947" s="24"/>
      <c r="AB947" s="24"/>
    </row>
    <row r="948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  <c r="AA948" s="24"/>
      <c r="AB948" s="24"/>
    </row>
    <row r="949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  <c r="AA949" s="24"/>
      <c r="AB949" s="24"/>
    </row>
    <row r="950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  <c r="AA950" s="24"/>
      <c r="AB950" s="24"/>
    </row>
    <row r="951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  <c r="AA951" s="24"/>
      <c r="AB951" s="24"/>
    </row>
    <row r="952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  <c r="AA952" s="24"/>
      <c r="AB952" s="24"/>
    </row>
    <row r="953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  <c r="AA953" s="24"/>
      <c r="AB953" s="24"/>
    </row>
    <row r="954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  <c r="AA954" s="24"/>
      <c r="AB954" s="24"/>
    </row>
    <row r="955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  <c r="AA955" s="24"/>
      <c r="AB955" s="24"/>
    </row>
    <row r="956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  <c r="AA956" s="24"/>
      <c r="AB956" s="24"/>
    </row>
    <row r="957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  <c r="AA957" s="24"/>
      <c r="AB957" s="24"/>
    </row>
    <row r="958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  <c r="AA958" s="24"/>
      <c r="AB958" s="24"/>
    </row>
    <row r="959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  <c r="AA959" s="24"/>
      <c r="AB959" s="24"/>
    </row>
    <row r="960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  <c r="AA960" s="24"/>
      <c r="AB960" s="24"/>
    </row>
    <row r="961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  <c r="AA961" s="24"/>
      <c r="AB961" s="24"/>
    </row>
    <row r="962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  <c r="AA962" s="24"/>
      <c r="AB962" s="24"/>
    </row>
    <row r="963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  <c r="AA963" s="24"/>
      <c r="AB963" s="24"/>
    </row>
    <row r="964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  <c r="AA964" s="24"/>
      <c r="AB964" s="24"/>
    </row>
    <row r="965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  <c r="AA965" s="24"/>
      <c r="AB965" s="24"/>
    </row>
    <row r="966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  <c r="AA966" s="24"/>
      <c r="AB966" s="24"/>
    </row>
    <row r="967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  <c r="AA967" s="24"/>
      <c r="AB967" s="24"/>
    </row>
    <row r="968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  <c r="AA968" s="24"/>
      <c r="AB968" s="24"/>
    </row>
    <row r="969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  <c r="AA969" s="24"/>
      <c r="AB969" s="24"/>
    </row>
    <row r="970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  <c r="AA970" s="24"/>
      <c r="AB970" s="24"/>
    </row>
    <row r="971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  <c r="AA971" s="24"/>
      <c r="AB971" s="24"/>
    </row>
    <row r="972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  <c r="AA972" s="24"/>
      <c r="AB972" s="24"/>
    </row>
    <row r="973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  <c r="AA973" s="24"/>
      <c r="AB973" s="24"/>
    </row>
    <row r="974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  <c r="AA974" s="24"/>
      <c r="AB974" s="24"/>
    </row>
    <row r="975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  <c r="AA975" s="24"/>
      <c r="AB975" s="24"/>
    </row>
    <row r="976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  <c r="AA976" s="24"/>
      <c r="AB976" s="24"/>
    </row>
    <row r="977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  <c r="AA977" s="24"/>
      <c r="AB977" s="24"/>
    </row>
    <row r="978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  <c r="AA978" s="24"/>
      <c r="AB978" s="24"/>
    </row>
    <row r="979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  <c r="AA979" s="24"/>
      <c r="AB979" s="24"/>
    </row>
    <row r="980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  <c r="AA980" s="24"/>
      <c r="AB980" s="24"/>
    </row>
    <row r="981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  <c r="AA981" s="24"/>
      <c r="AB981" s="24"/>
    </row>
    <row r="982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  <c r="AA982" s="24"/>
      <c r="AB982" s="24"/>
    </row>
    <row r="983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  <c r="AA983" s="24"/>
      <c r="AB983" s="24"/>
    </row>
    <row r="984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  <c r="AA984" s="24"/>
      <c r="AB984" s="24"/>
    </row>
    <row r="985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  <c r="AA985" s="24"/>
      <c r="AB985" s="24"/>
    </row>
    <row r="986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  <c r="AA986" s="24"/>
      <c r="AB986" s="24"/>
    </row>
    <row r="987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  <c r="AA987" s="24"/>
      <c r="AB987" s="24"/>
    </row>
    <row r="988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  <c r="AA988" s="24"/>
      <c r="AB988" s="24"/>
    </row>
    <row r="989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  <c r="AA989" s="24"/>
      <c r="AB989" s="24"/>
    </row>
    <row r="990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  <c r="AA990" s="24"/>
      <c r="AB990" s="24"/>
    </row>
    <row r="991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  <c r="AA991" s="24"/>
      <c r="AB991" s="24"/>
    </row>
    <row r="992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  <c r="AA992" s="24"/>
      <c r="AB992" s="24"/>
    </row>
    <row r="993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  <c r="AA993" s="24"/>
      <c r="AB993" s="24"/>
    </row>
    <row r="994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  <c r="AA994" s="24"/>
      <c r="AB994" s="24"/>
    </row>
    <row r="995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  <c r="AA995" s="24"/>
      <c r="AB995" s="24"/>
    </row>
    <row r="996">
      <c r="A996" s="24"/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  <c r="AA996" s="24"/>
      <c r="AB996" s="24"/>
    </row>
    <row r="997">
      <c r="A997" s="24"/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  <c r="AA997" s="24"/>
      <c r="AB997" s="24"/>
    </row>
    <row r="998">
      <c r="A998" s="24"/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  <c r="AA998" s="24"/>
      <c r="AB998" s="24"/>
    </row>
    <row r="999">
      <c r="A999" s="24"/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24"/>
      <c r="AA999" s="24"/>
      <c r="AB999" s="24"/>
    </row>
    <row r="1000">
      <c r="A1000" s="24"/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24"/>
      <c r="AA1000" s="24"/>
      <c r="AB1000" s="24"/>
    </row>
    <row r="1001">
      <c r="A1001" s="24"/>
      <c r="B1001" s="24"/>
      <c r="C1001" s="24"/>
      <c r="D1001" s="24"/>
      <c r="E1001" s="24"/>
      <c r="F1001" s="24"/>
      <c r="G1001" s="24"/>
      <c r="H1001" s="24"/>
      <c r="I1001" s="24"/>
      <c r="J1001" s="24"/>
      <c r="K1001" s="24"/>
      <c r="L1001" s="24"/>
      <c r="M1001" s="24"/>
      <c r="N1001" s="24"/>
      <c r="O1001" s="24"/>
      <c r="P1001" s="24"/>
      <c r="Q1001" s="24"/>
      <c r="R1001" s="24"/>
      <c r="S1001" s="24"/>
      <c r="T1001" s="24"/>
      <c r="U1001" s="24"/>
      <c r="V1001" s="24"/>
      <c r="W1001" s="24"/>
      <c r="X1001" s="24"/>
      <c r="Y1001" s="24"/>
      <c r="Z1001" s="24"/>
      <c r="AA1001" s="24"/>
      <c r="AB1001" s="24"/>
    </row>
    <row r="1002">
      <c r="A1002" s="24"/>
      <c r="B1002" s="24"/>
      <c r="C1002" s="24"/>
      <c r="D1002" s="24"/>
      <c r="E1002" s="24"/>
      <c r="F1002" s="24"/>
      <c r="G1002" s="24"/>
      <c r="H1002" s="24"/>
      <c r="I1002" s="24"/>
      <c r="J1002" s="24"/>
      <c r="K1002" s="24"/>
      <c r="L1002" s="24"/>
      <c r="M1002" s="24"/>
      <c r="N1002" s="24"/>
      <c r="O1002" s="24"/>
      <c r="P1002" s="24"/>
      <c r="Q1002" s="24"/>
      <c r="R1002" s="24"/>
      <c r="S1002" s="24"/>
      <c r="T1002" s="24"/>
      <c r="U1002" s="24"/>
      <c r="V1002" s="24"/>
      <c r="W1002" s="24"/>
      <c r="X1002" s="24"/>
      <c r="Y1002" s="24"/>
      <c r="Z1002" s="24"/>
      <c r="AA1002" s="24"/>
      <c r="AB1002" s="24"/>
    </row>
    <row r="1003">
      <c r="A1003" s="24"/>
      <c r="B1003" s="24"/>
      <c r="C1003" s="24"/>
      <c r="D1003" s="24"/>
      <c r="E1003" s="24"/>
      <c r="F1003" s="24"/>
      <c r="G1003" s="24"/>
      <c r="H1003" s="24"/>
      <c r="I1003" s="24"/>
      <c r="J1003" s="24"/>
      <c r="K1003" s="24"/>
      <c r="L1003" s="24"/>
      <c r="M1003" s="24"/>
      <c r="N1003" s="24"/>
      <c r="O1003" s="24"/>
      <c r="P1003" s="24"/>
      <c r="Q1003" s="24"/>
      <c r="R1003" s="24"/>
      <c r="S1003" s="24"/>
      <c r="T1003" s="24"/>
      <c r="U1003" s="24"/>
      <c r="V1003" s="24"/>
      <c r="W1003" s="24"/>
      <c r="X1003" s="24"/>
      <c r="Y1003" s="24"/>
      <c r="Z1003" s="24"/>
      <c r="AA1003" s="24"/>
      <c r="AB1003" s="24"/>
    </row>
  </sheetData>
  <hyperlinks>
    <hyperlink r:id="rId1" ref="E2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3" width="16.25"/>
    <col customWidth="1" min="4" max="4" width="24.25"/>
    <col customWidth="1" min="6" max="7" width="18.38"/>
    <col customWidth="1" min="8" max="8" width="17.5"/>
    <col customWidth="1" min="9" max="9" width="27.0"/>
    <col customWidth="1" min="10" max="10" width="35.75"/>
    <col customWidth="1" min="11" max="11" width="18.0"/>
    <col customWidth="1" min="12" max="12" width="13.5"/>
    <col customWidth="1" min="13" max="13" width="16.13"/>
    <col customWidth="1" min="14" max="14" width="28.0"/>
    <col customWidth="1" min="15" max="15" width="19.63"/>
    <col customWidth="1" min="16" max="16" width="19.5"/>
    <col customWidth="1" min="17" max="17" width="14.75"/>
    <col customWidth="1" min="18" max="18" width="19.63"/>
    <col customWidth="1" min="19" max="19" width="19.5"/>
    <col customWidth="1" min="20" max="21" width="20.5"/>
    <col customWidth="1" min="23" max="23" width="26.13"/>
  </cols>
  <sheetData>
    <row r="1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4" t="s">
        <v>11</v>
      </c>
      <c r="M1" s="24" t="s">
        <v>12</v>
      </c>
      <c r="N1" s="24" t="s">
        <v>13</v>
      </c>
      <c r="O1" s="24" t="s">
        <v>14</v>
      </c>
      <c r="P1" s="24" t="s">
        <v>15</v>
      </c>
      <c r="Q1" s="24" t="s">
        <v>16</v>
      </c>
      <c r="R1" s="24" t="s">
        <v>17</v>
      </c>
      <c r="S1" s="24" t="s">
        <v>18</v>
      </c>
      <c r="T1" s="8" t="s">
        <v>19</v>
      </c>
      <c r="U1" s="8" t="s">
        <v>20</v>
      </c>
      <c r="V1" s="24"/>
      <c r="W1" s="24"/>
      <c r="X1" s="24"/>
      <c r="Y1" s="24"/>
      <c r="Z1" s="24"/>
      <c r="AA1" s="24"/>
      <c r="AB1" s="24"/>
    </row>
    <row r="2">
      <c r="A2" s="24" t="s">
        <v>21</v>
      </c>
      <c r="B2" s="25">
        <v>179165.0</v>
      </c>
      <c r="C2" s="24">
        <f>0.5*'Standardized Data'!C2</f>
        <v>0.3553773797</v>
      </c>
      <c r="D2" s="24">
        <f>0.5*'Standardized Data'!D2</f>
        <v>0.3</v>
      </c>
      <c r="E2" s="24">
        <f>4*'Standardized Data'!E2</f>
        <v>2.328</v>
      </c>
      <c r="F2" s="24">
        <f>4*'Standardized Data'!F2</f>
        <v>2.258064</v>
      </c>
      <c r="G2" s="24">
        <f>2*'Standardized Data'!G2</f>
        <v>0.502</v>
      </c>
      <c r="H2" s="24">
        <f>2*'Standardized Data'!H2</f>
        <v>0.9933749742</v>
      </c>
      <c r="I2" s="24">
        <f>1*'Standardized Data'!I2</f>
        <v>0.6384367405</v>
      </c>
      <c r="J2" s="24">
        <f>1*'Standardized Data'!J2</f>
        <v>0.5399618052</v>
      </c>
      <c r="K2" s="24">
        <f>0.25*'Standardized Data'!K2</f>
        <v>0.1692294825</v>
      </c>
      <c r="L2" s="24">
        <f>0.25*'Standardized Data'!L2</f>
        <v>0.1201709037</v>
      </c>
      <c r="M2" s="24">
        <f>0.25*'Standardized Data'!M2</f>
        <v>0.2038695436</v>
      </c>
      <c r="N2" s="24">
        <f>0.25*'Standardized Data'!N2</f>
        <v>0.1877590895</v>
      </c>
      <c r="O2" s="24">
        <f>1*'Standardized Data'!O2</f>
        <v>0.44016491</v>
      </c>
      <c r="P2" s="24">
        <f>1*'Standardized Data'!P2</f>
        <v>0.3773642839</v>
      </c>
      <c r="Q2" s="24">
        <f>1*'Standardized Data'!Q2</f>
        <v>0.3800317182</v>
      </c>
      <c r="R2" s="24">
        <f>1*'Standardized Data'!R2</f>
        <v>0.7437867782</v>
      </c>
      <c r="S2" s="24">
        <f>0.25*'Standardized Data'!S2</f>
        <v>0.1852716789</v>
      </c>
      <c r="T2" s="24">
        <f>0.25*'Standardized Data'!T2</f>
        <v>0.06975067103</v>
      </c>
      <c r="U2" s="24">
        <f>0.25*'Standardized Data'!U2</f>
        <v>0.1003048178</v>
      </c>
      <c r="V2" s="24"/>
      <c r="W2" s="24"/>
      <c r="X2" s="24"/>
      <c r="Y2" s="24"/>
      <c r="Z2" s="24"/>
      <c r="AA2" s="24"/>
      <c r="AB2" s="24"/>
    </row>
    <row r="3">
      <c r="A3" s="24" t="s">
        <v>24</v>
      </c>
      <c r="B3" s="25">
        <v>36473.0</v>
      </c>
      <c r="C3" s="24">
        <f>0.5*'Standardized Data'!C3</f>
        <v>0.2561041422</v>
      </c>
      <c r="D3" s="24">
        <f>0.5*'Standardized Data'!D3</f>
        <v>0.2</v>
      </c>
      <c r="E3" s="24">
        <f>4*'Standardized Data'!E3</f>
        <v>1.1</v>
      </c>
      <c r="F3" s="24">
        <f>4*'Standardized Data'!F3</f>
        <v>3.935484</v>
      </c>
      <c r="G3" s="24">
        <f>2*'Standardized Data'!G3</f>
        <v>0.468</v>
      </c>
      <c r="H3" s="24">
        <f>2*'Standardized Data'!H3</f>
        <v>1.034779071</v>
      </c>
      <c r="I3" s="24">
        <f>1*'Standardized Data'!I3</f>
        <v>0.4733678012</v>
      </c>
      <c r="J3" s="24">
        <f>1*'Standardized Data'!J3</f>
        <v>0.203410958</v>
      </c>
      <c r="K3" s="24">
        <f>0.25*'Standardized Data'!K3</f>
        <v>0.2098071083</v>
      </c>
      <c r="L3" s="24">
        <f>0.25*'Standardized Data'!L3</f>
        <v>0.09026720644</v>
      </c>
      <c r="M3" s="24">
        <f>0.25*'Standardized Data'!M3</f>
        <v>0.1942118388</v>
      </c>
      <c r="N3" s="24">
        <f>0.25*'Standardized Data'!N3</f>
        <v>0.2003953233</v>
      </c>
      <c r="O3" s="24">
        <f>1*'Standardized Data'!O3</f>
        <v>0.369695588</v>
      </c>
      <c r="P3" s="24">
        <f>1*'Standardized Data'!P3</f>
        <v>0.7883938008</v>
      </c>
      <c r="Q3" s="24">
        <f>1*'Standardized Data'!Q3</f>
        <v>0.397419718</v>
      </c>
      <c r="R3" s="24">
        <f>1*'Standardized Data'!R3</f>
        <v>0.4624602896</v>
      </c>
      <c r="S3" s="24">
        <f>0.25*'Standardized Data'!S3</f>
        <v>0.1431420025</v>
      </c>
      <c r="T3" s="24">
        <f>0.25*'Standardized Data'!T3</f>
        <v>0.04718326976</v>
      </c>
      <c r="U3" s="24">
        <f>0.25*'Standardized Data'!U3</f>
        <v>0.06812943219</v>
      </c>
      <c r="V3" s="24"/>
      <c r="W3" s="24"/>
      <c r="X3" s="24"/>
      <c r="Y3" s="24"/>
      <c r="Z3" s="24"/>
      <c r="AA3" s="24"/>
      <c r="AB3" s="24"/>
    </row>
    <row r="4">
      <c r="A4" s="24" t="s">
        <v>27</v>
      </c>
      <c r="B4" s="25">
        <v>11342.0</v>
      </c>
      <c r="C4" s="24">
        <f>0.5*'Standardized Data'!C4</f>
        <v>0.1652794235</v>
      </c>
      <c r="D4" s="24">
        <f>0.5*'Standardized Data'!D4</f>
        <v>0.5</v>
      </c>
      <c r="E4" s="24">
        <f>4*'Standardized Data'!E4</f>
        <v>1.096</v>
      </c>
      <c r="F4" s="24">
        <f>4*'Standardized Data'!F4</f>
        <v>3.67742</v>
      </c>
      <c r="G4" s="24">
        <f>2*'Standardized Data'!G4</f>
        <v>0.314</v>
      </c>
      <c r="H4" s="24">
        <f>2*'Standardized Data'!H4</f>
        <v>1.315205342</v>
      </c>
      <c r="I4" s="24">
        <f>1*'Standardized Data'!I4</f>
        <v>0.3265148483</v>
      </c>
      <c r="J4" s="24">
        <f>1*'Standardized Data'!J4</f>
        <v>0.4283608821</v>
      </c>
      <c r="K4" s="24">
        <f>0.25*'Standardized Data'!K4</f>
        <v>0.2301765826</v>
      </c>
      <c r="L4" s="24">
        <f>0.25*'Standardized Data'!L4</f>
        <v>0.06541043358</v>
      </c>
      <c r="M4" s="24">
        <f>0.25*'Standardized Data'!M4</f>
        <v>0.2012261641</v>
      </c>
      <c r="N4" s="24">
        <f>0.25*'Standardized Data'!N4</f>
        <v>0.1415955605</v>
      </c>
      <c r="O4" s="24">
        <f>1*'Standardized Data'!O4</f>
        <v>0.4053707281</v>
      </c>
      <c r="P4" s="24">
        <f>1*'Standardized Data'!P4</f>
        <v>0.7905933711</v>
      </c>
      <c r="Q4" s="24">
        <f>1*'Standardized Data'!Q4</f>
        <v>0.4088918811</v>
      </c>
      <c r="R4" s="24">
        <f>1*'Standardized Data'!R4</f>
        <v>0.6104573811</v>
      </c>
      <c r="S4" s="24">
        <f>0.25*'Standardized Data'!S4</f>
        <v>0.1720770696</v>
      </c>
      <c r="T4" s="24">
        <f>0.25*'Standardized Data'!T4</f>
        <v>0.08157232592</v>
      </c>
      <c r="U4" s="24">
        <f>0.25*'Standardized Data'!U4</f>
        <v>0.1306153543</v>
      </c>
      <c r="V4" s="24"/>
      <c r="W4" s="24"/>
      <c r="X4" s="24"/>
      <c r="Y4" s="24"/>
      <c r="Z4" s="24"/>
      <c r="AA4" s="24"/>
      <c r="AB4" s="24"/>
    </row>
    <row r="5">
      <c r="A5" s="24" t="s">
        <v>30</v>
      </c>
      <c r="B5" s="25">
        <v>21897.0</v>
      </c>
      <c r="C5" s="24">
        <f>0.5*'Standardized Data'!C5</f>
        <v>0.1471726315</v>
      </c>
      <c r="D5" s="24">
        <f>0.5*'Standardized Data'!D5</f>
        <v>0.1</v>
      </c>
      <c r="E5" s="24">
        <f>4*'Standardized Data'!E5</f>
        <v>2.276</v>
      </c>
      <c r="F5" s="24">
        <f>4*'Standardized Data'!F5</f>
        <v>2</v>
      </c>
      <c r="G5" s="24">
        <f>2*'Standardized Data'!G5</f>
        <v>0.66</v>
      </c>
      <c r="H5" s="24">
        <f>2*'Standardized Data'!H5</f>
        <v>0.3197280717</v>
      </c>
      <c r="I5" s="24">
        <f>1*'Standardized Data'!I5</f>
        <v>0.2846037932</v>
      </c>
      <c r="J5" s="24">
        <f>1*'Standardized Data'!J5</f>
        <v>0.005283697023</v>
      </c>
      <c r="K5" s="24">
        <f>0.25*'Standardized Data'!K5</f>
        <v>0.1513684523</v>
      </c>
      <c r="L5" s="24">
        <f>0.25*'Standardized Data'!L5</f>
        <v>0.102227531</v>
      </c>
      <c r="M5" s="24">
        <f>0.25*'Standardized Data'!M5</f>
        <v>0.2105116387</v>
      </c>
      <c r="N5" s="24">
        <f>0.25*'Standardized Data'!N5</f>
        <v>0.1920272078</v>
      </c>
      <c r="O5" s="24">
        <f>1*'Standardized Data'!O5</f>
        <v>0.6622787155</v>
      </c>
      <c r="P5" s="24">
        <f>1*'Standardized Data'!P5</f>
        <v>0.8404110903</v>
      </c>
      <c r="Q5" s="24">
        <f>1*'Standardized Data'!Q5</f>
        <v>0.6204217621</v>
      </c>
      <c r="R5" s="24">
        <f>1*'Standardized Data'!R5</f>
        <v>0.6919032612</v>
      </c>
      <c r="S5" s="24">
        <f>0.25*'Standardized Data'!S5</f>
        <v>0.2448685452</v>
      </c>
      <c r="T5" s="24">
        <f>0.25*'Standardized Data'!T5</f>
        <v>0.06450949577</v>
      </c>
      <c r="U5" s="24">
        <f>0.25*'Standardized Data'!U5</f>
        <v>0.05477471682</v>
      </c>
      <c r="V5" s="24"/>
      <c r="W5" s="24"/>
      <c r="X5" s="24"/>
      <c r="Y5" s="24"/>
      <c r="Z5" s="24"/>
      <c r="AA5" s="24"/>
      <c r="AB5" s="24"/>
    </row>
    <row r="6">
      <c r="A6" s="24" t="s">
        <v>33</v>
      </c>
      <c r="B6" s="25">
        <v>27063.0</v>
      </c>
      <c r="C6" s="24">
        <f>0.5*'Standardized Data'!C6</f>
        <v>0.1851678504</v>
      </c>
      <c r="D6" s="24">
        <f>0.5*'Standardized Data'!D6</f>
        <v>0.5</v>
      </c>
      <c r="E6" s="24">
        <f>4*'Standardized Data'!E6</f>
        <v>0.716</v>
      </c>
      <c r="F6" s="24">
        <f>4*'Standardized Data'!F6</f>
        <v>3.483872</v>
      </c>
      <c r="G6" s="24">
        <f>2*'Standardized Data'!G6</f>
        <v>0.308</v>
      </c>
      <c r="H6" s="24">
        <f>2*'Standardized Data'!H6</f>
        <v>1.514907445</v>
      </c>
      <c r="I6" s="24">
        <f>1*'Standardized Data'!I6</f>
        <v>0.5821354994</v>
      </c>
      <c r="J6" s="24">
        <f>1*'Standardized Data'!J6</f>
        <v>0.4182141204</v>
      </c>
      <c r="K6" s="24">
        <f>0.25*'Standardized Data'!K6</f>
        <v>0.2395504716</v>
      </c>
      <c r="L6" s="24">
        <f>0.25*'Standardized Data'!L6</f>
        <v>0.08594050715</v>
      </c>
      <c r="M6" s="24">
        <f>0.25*'Standardized Data'!M6</f>
        <v>0.2104373842</v>
      </c>
      <c r="N6" s="24">
        <f>0.25*'Standardized Data'!N6</f>
        <v>0.1157300845</v>
      </c>
      <c r="O6" s="24">
        <f>1*'Standardized Data'!O6</f>
        <v>0.2172126083</v>
      </c>
      <c r="P6" s="24">
        <f>1*'Standardized Data'!P6</f>
        <v>0.628052589</v>
      </c>
      <c r="Q6" s="24">
        <f>1*'Standardized Data'!Q6</f>
        <v>0.4866471401</v>
      </c>
      <c r="R6" s="24">
        <f>1*'Standardized Data'!R6</f>
        <v>0.5364588354</v>
      </c>
      <c r="S6" s="24">
        <f>0.25*'Standardized Data'!S6</f>
        <v>0.1418398244</v>
      </c>
      <c r="T6" s="24">
        <f>0.25*'Standardized Data'!T6</f>
        <v>0.07745062466</v>
      </c>
      <c r="U6" s="24">
        <f>0.25*'Standardized Data'!U6</f>
        <v>0.1039383237</v>
      </c>
      <c r="V6" s="24"/>
      <c r="W6" s="24"/>
      <c r="X6" s="24"/>
      <c r="Y6" s="24"/>
      <c r="Z6" s="24"/>
      <c r="AA6" s="24"/>
      <c r="AB6" s="24"/>
    </row>
    <row r="7">
      <c r="A7" s="24" t="s">
        <v>35</v>
      </c>
      <c r="B7" s="25">
        <v>17561.0</v>
      </c>
      <c r="C7" s="24">
        <f>0.5*'Standardized Data'!C7</f>
        <v>0.1964522697</v>
      </c>
      <c r="D7" s="24">
        <f>0.5*'Standardized Data'!D7</f>
        <v>0.5</v>
      </c>
      <c r="E7" s="24">
        <f>4*'Standardized Data'!E7</f>
        <v>0.928</v>
      </c>
      <c r="F7" s="24">
        <f>4*'Standardized Data'!F7</f>
        <v>3.741936</v>
      </c>
      <c r="G7" s="24">
        <f>2*'Standardized Data'!G7</f>
        <v>0.376</v>
      </c>
      <c r="H7" s="24">
        <f>2*'Standardized Data'!H7</f>
        <v>1.418481181</v>
      </c>
      <c r="I7" s="24">
        <f>1*'Standardized Data'!I7</f>
        <v>0.5194560954</v>
      </c>
      <c r="J7" s="24">
        <f>1*'Standardized Data'!J7</f>
        <v>0.4052727792</v>
      </c>
      <c r="K7" s="24">
        <f>0.25*'Standardized Data'!K7</f>
        <v>0.2468140176</v>
      </c>
      <c r="L7" s="24">
        <f>0.25*'Standardized Data'!L7</f>
        <v>0</v>
      </c>
      <c r="M7" s="24">
        <f>0.25*'Standardized Data'!M7</f>
        <v>0.1683831889</v>
      </c>
      <c r="N7" s="24">
        <f>0.25*'Standardized Data'!N7</f>
        <v>0.1047645138</v>
      </c>
      <c r="O7" s="24">
        <f>1*'Standardized Data'!O7</f>
        <v>0.2955156838</v>
      </c>
      <c r="P7" s="24">
        <f>1*'Standardized Data'!P7</f>
        <v>0.7553043932</v>
      </c>
      <c r="Q7" s="24">
        <f>1*'Standardized Data'!Q7</f>
        <v>0.2389530206</v>
      </c>
      <c r="R7" s="24">
        <f>1*'Standardized Data'!R7</f>
        <v>0.5626529772</v>
      </c>
      <c r="S7" s="24">
        <f>0.25*'Standardized Data'!S7</f>
        <v>0.1259060297</v>
      </c>
      <c r="T7" s="24">
        <f>0.25*'Standardized Data'!T7</f>
        <v>0.06450949577</v>
      </c>
      <c r="U7" s="24">
        <f>0.25*'Standardized Data'!U7</f>
        <v>0.1188964847</v>
      </c>
      <c r="V7" s="24"/>
      <c r="W7" s="24"/>
      <c r="X7" s="24"/>
      <c r="Y7" s="24"/>
      <c r="Z7" s="24"/>
      <c r="AA7" s="24"/>
      <c r="AB7" s="24"/>
    </row>
    <row r="8">
      <c r="A8" s="24" t="s">
        <v>37</v>
      </c>
      <c r="B8" s="25">
        <v>44481.0</v>
      </c>
      <c r="C8" s="24">
        <f>0.5*'Standardized Data'!C8</f>
        <v>0.1704018938</v>
      </c>
      <c r="D8" s="24">
        <f>0.5*'Standardized Data'!D8</f>
        <v>0.4</v>
      </c>
      <c r="E8" s="24">
        <f>4*'Standardized Data'!E8</f>
        <v>2.028</v>
      </c>
      <c r="F8" s="24">
        <f>4*'Standardized Data'!F8</f>
        <v>2.96774</v>
      </c>
      <c r="G8" s="24">
        <f>2*'Standardized Data'!G8</f>
        <v>0.898</v>
      </c>
      <c r="H8" s="24">
        <f>2*'Standardized Data'!H8</f>
        <v>1.248311401</v>
      </c>
      <c r="I8" s="24">
        <f>1*'Standardized Data'!I8</f>
        <v>0.6159929608</v>
      </c>
      <c r="J8" s="24">
        <f>1*'Standardized Data'!J8</f>
        <v>0.3701907674</v>
      </c>
      <c r="K8" s="24">
        <f>0.25*'Standardized Data'!K8</f>
        <v>0.05676191395</v>
      </c>
      <c r="L8" s="24">
        <f>0.25*'Standardized Data'!L8</f>
        <v>0.1892279321</v>
      </c>
      <c r="M8" s="24">
        <f>0.25*'Standardized Data'!M8</f>
        <v>0.226503905</v>
      </c>
      <c r="N8" s="24">
        <f>0.25*'Standardized Data'!N8</f>
        <v>0.1157300845</v>
      </c>
      <c r="O8" s="24">
        <f>1*'Standardized Data'!O8</f>
        <v>0.369695588</v>
      </c>
      <c r="P8" s="24">
        <f>1*'Standardized Data'!P8</f>
        <v>0.5847558923</v>
      </c>
      <c r="Q8" s="24">
        <f>1*'Standardized Data'!Q8</f>
        <v>0.425924289</v>
      </c>
      <c r="R8" s="24">
        <f>1*'Standardized Data'!R8</f>
        <v>0.4936963388</v>
      </c>
      <c r="S8" s="24">
        <f>0.25*'Standardized Data'!S8</f>
        <v>0.1980827705</v>
      </c>
      <c r="T8" s="24">
        <f>0.25*'Standardized Data'!T8</f>
        <v>0.0745073221</v>
      </c>
      <c r="U8" s="24">
        <f>0.25*'Standardized Data'!U8</f>
        <v>0.1057091423</v>
      </c>
      <c r="V8" s="24"/>
      <c r="W8" s="24"/>
      <c r="X8" s="24"/>
      <c r="Y8" s="24"/>
      <c r="Z8" s="24"/>
      <c r="AA8" s="24"/>
      <c r="AB8" s="24"/>
    </row>
    <row r="9">
      <c r="A9" s="24" t="s">
        <v>40</v>
      </c>
      <c r="B9" s="25">
        <v>16922.0</v>
      </c>
      <c r="C9" s="24">
        <f>0.5*'Standardized Data'!C9</f>
        <v>0.1005582407</v>
      </c>
      <c r="D9" s="24">
        <f>0.5*'Standardized Data'!D9</f>
        <v>0.5</v>
      </c>
      <c r="E9" s="24">
        <f>4*'Standardized Data'!E9</f>
        <v>2.084</v>
      </c>
      <c r="F9" s="24">
        <f>4*'Standardized Data'!F9</f>
        <v>1.35484</v>
      </c>
      <c r="G9" s="24">
        <f>2*'Standardized Data'!G9</f>
        <v>0.558</v>
      </c>
      <c r="H9" s="24">
        <f>2*'Standardized Data'!H9</f>
        <v>0.3904086232</v>
      </c>
      <c r="I9" s="24">
        <f>1*'Standardized Data'!I9</f>
        <v>0.2604944712</v>
      </c>
      <c r="J9" s="24">
        <f>1*'Standardized Data'!J9</f>
        <v>0.2864392193</v>
      </c>
      <c r="K9" s="24">
        <f>0.25*'Standardized Data'!K9</f>
        <v>0.07414965507</v>
      </c>
      <c r="L9" s="24">
        <f>0.25*'Standardized Data'!L9</f>
        <v>0.1577476715</v>
      </c>
      <c r="M9" s="24">
        <f>0.25*'Standardized Data'!M9</f>
        <v>0.2311642064</v>
      </c>
      <c r="N9" s="24">
        <f>0.25*'Standardized Data'!N9</f>
        <v>0.1263300673</v>
      </c>
      <c r="O9" s="24">
        <f>1*'Standardized Data'!O9</f>
        <v>0.854101578</v>
      </c>
      <c r="P9" s="24">
        <f>1*'Standardized Data'!P9</f>
        <v>0.8957221356</v>
      </c>
      <c r="Q9" s="24">
        <f>1*'Standardized Data'!Q9</f>
        <v>0.4866471401</v>
      </c>
      <c r="R9" s="24">
        <f>1*'Standardized Data'!R9</f>
        <v>0.3718933891</v>
      </c>
      <c r="S9" s="24">
        <f>0.25*'Standardized Data'!S9</f>
        <v>0.25</v>
      </c>
      <c r="T9" s="24">
        <f>0.25*'Standardized Data'!T9</f>
        <v>0.04969565955</v>
      </c>
      <c r="U9" s="24">
        <f>0.25*'Standardized Data'!U9</f>
        <v>0.04272030172</v>
      </c>
      <c r="V9" s="24"/>
      <c r="W9" s="24"/>
      <c r="X9" s="24"/>
      <c r="Y9" s="24"/>
      <c r="Z9" s="24"/>
      <c r="AA9" s="24"/>
      <c r="AB9" s="24"/>
    </row>
    <row r="10">
      <c r="A10" s="24" t="s">
        <v>42</v>
      </c>
      <c r="B10" s="25">
        <v>29484.0</v>
      </c>
      <c r="C10" s="24">
        <f>0.5*'Standardized Data'!C10</f>
        <v>0.1323557581</v>
      </c>
      <c r="D10" s="24">
        <f>0.5*'Standardized Data'!D10</f>
        <v>0.5</v>
      </c>
      <c r="E10" s="24">
        <f>4*'Standardized Data'!E10</f>
        <v>2.408</v>
      </c>
      <c r="F10" s="24">
        <f>4*'Standardized Data'!F10</f>
        <v>2.580644</v>
      </c>
      <c r="G10" s="24">
        <f>2*'Standardized Data'!G10</f>
        <v>0.496</v>
      </c>
      <c r="H10" s="24">
        <f>2*'Standardized Data'!H10</f>
        <v>0.413753498</v>
      </c>
      <c r="I10" s="24">
        <f>1*'Standardized Data'!I10</f>
        <v>0.6440318353</v>
      </c>
      <c r="J10" s="24">
        <f>1*'Standardized Data'!J10</f>
        <v>0.3701907674</v>
      </c>
      <c r="K10" s="24">
        <f>0.25*'Standardized Data'!K10</f>
        <v>0.0963544294</v>
      </c>
      <c r="L10" s="24">
        <f>0.25*'Standardized Data'!L10</f>
        <v>0.1249605109</v>
      </c>
      <c r="M10" s="24">
        <f>0.25*'Standardized Data'!M10</f>
        <v>0.2279180599</v>
      </c>
      <c r="N10" s="24">
        <f>0.25*'Standardized Data'!N10</f>
        <v>0.1315004257</v>
      </c>
      <c r="O10" s="24">
        <f>1*'Standardized Data'!O10</f>
        <v>0.9044316699</v>
      </c>
      <c r="P10" s="24">
        <f>1*'Standardized Data'!P10</f>
        <v>0.9027385369</v>
      </c>
      <c r="Q10" s="24">
        <f>1*'Standardized Data'!Q10</f>
        <v>0.414592603</v>
      </c>
      <c r="R10" s="24">
        <f>1*'Standardized Data'!R10</f>
        <v>0.7010242817</v>
      </c>
      <c r="S10" s="24">
        <f>0.25*'Standardized Data'!S10</f>
        <v>0.2003725782</v>
      </c>
      <c r="T10" s="24">
        <f>0.25*'Standardized Data'!T10</f>
        <v>0.06806219924</v>
      </c>
      <c r="U10" s="24">
        <f>0.25*'Standardized Data'!U10</f>
        <v>0.09063186168</v>
      </c>
      <c r="V10" s="24"/>
      <c r="W10" s="24"/>
      <c r="X10" s="24"/>
      <c r="Y10" s="24"/>
      <c r="Z10" s="24"/>
      <c r="AA10" s="24"/>
      <c r="AB10" s="24"/>
    </row>
    <row r="11">
      <c r="A11" s="24" t="s">
        <v>44</v>
      </c>
      <c r="B11" s="25">
        <v>159964.0</v>
      </c>
      <c r="C11" s="24">
        <f>0.5*'Standardized Data'!C11</f>
        <v>0.2895063646</v>
      </c>
      <c r="D11" s="24">
        <f>0.5*'Standardized Data'!D11</f>
        <v>0.2</v>
      </c>
      <c r="E11" s="24">
        <f>4*'Standardized Data'!E11</f>
        <v>1.292</v>
      </c>
      <c r="F11" s="24">
        <f>4*'Standardized Data'!F11</f>
        <v>2.838708</v>
      </c>
      <c r="G11" s="24">
        <f>2*'Standardized Data'!G11</f>
        <v>1.104</v>
      </c>
      <c r="H11" s="24">
        <f>2*'Standardized Data'!H11</f>
        <v>1.244921268</v>
      </c>
      <c r="I11" s="24">
        <f>1*'Standardized Data'!I11</f>
        <v>0.9001189917</v>
      </c>
      <c r="J11" s="24">
        <f>1*'Standardized Data'!J11</f>
        <v>0.6437922934</v>
      </c>
      <c r="K11" s="24">
        <f>0.25*'Standardized Data'!K11</f>
        <v>0.0621112544</v>
      </c>
      <c r="L11" s="24">
        <f>0.25*'Standardized Data'!L11</f>
        <v>0.2013181402</v>
      </c>
      <c r="M11" s="24">
        <f>0.25*'Standardized Data'!M11</f>
        <v>0.1904528401</v>
      </c>
      <c r="N11" s="24">
        <f>0.25*'Standardized Data'!N11</f>
        <v>0.1315004257</v>
      </c>
      <c r="O11" s="24">
        <f>1*'Standardized Data'!O11</f>
        <v>0.6023082705</v>
      </c>
      <c r="P11" s="24">
        <f>1*'Standardized Data'!P11</f>
        <v>0.5221412704</v>
      </c>
      <c r="Q11" s="24">
        <f>1*'Standardized Data'!Q11</f>
        <v>0.403167651</v>
      </c>
      <c r="R11" s="24">
        <f>1*'Standardized Data'!R11</f>
        <v>0.6532198777</v>
      </c>
      <c r="S11" s="24">
        <f>0.25*'Standardized Data'!S11</f>
        <v>0.1051429926</v>
      </c>
      <c r="T11" s="24">
        <f>0.25*'Standardized Data'!T11</f>
        <v>0.04718326976</v>
      </c>
      <c r="U11" s="24">
        <f>0.25*'Standardized Data'!U11</f>
        <v>0.1021372332</v>
      </c>
      <c r="V11" s="24"/>
      <c r="W11" s="24"/>
      <c r="X11" s="24"/>
      <c r="Y11" s="24"/>
      <c r="Z11" s="24"/>
      <c r="AA11" s="24"/>
      <c r="AB11" s="24"/>
    </row>
    <row r="12">
      <c r="A12" s="24" t="s">
        <v>46</v>
      </c>
      <c r="B12" s="25">
        <v>275901.0</v>
      </c>
      <c r="C12" s="24">
        <f>0.5*'Standardized Data'!C12</f>
        <v>0.3540894213</v>
      </c>
      <c r="D12" s="24">
        <f>0.5*'Standardized Data'!D12</f>
        <v>0.2</v>
      </c>
      <c r="E12" s="24">
        <f>4*'Standardized Data'!E12</f>
        <v>1.408</v>
      </c>
      <c r="F12" s="24">
        <f>4*'Standardized Data'!F12</f>
        <v>1.225808</v>
      </c>
      <c r="G12" s="24">
        <f>2*'Standardized Data'!G12</f>
        <v>1.226</v>
      </c>
      <c r="H12" s="24">
        <f>2*'Standardized Data'!H12</f>
        <v>1.632661464</v>
      </c>
      <c r="I12" s="24">
        <f>1*'Standardized Data'!I12</f>
        <v>0.8467299417</v>
      </c>
      <c r="J12" s="24">
        <f>1*'Standardized Data'!J12</f>
        <v>0.813014502</v>
      </c>
      <c r="K12" s="24">
        <f>0.25*'Standardized Data'!K12</f>
        <v>0.2480324402</v>
      </c>
      <c r="L12" s="24">
        <f>0.25*'Standardized Data'!L12</f>
        <v>0.08879274585</v>
      </c>
      <c r="M12" s="24">
        <f>0.25*'Standardized Data'!M12</f>
        <v>0.2079858471</v>
      </c>
      <c r="N12" s="24">
        <f>0.25*'Standardized Data'!N12</f>
        <v>0.06939809449</v>
      </c>
      <c r="O12" s="24">
        <f>1*'Standardized Data'!O12</f>
        <v>0.4741205957</v>
      </c>
      <c r="P12" s="24">
        <f>1*'Standardized Data'!P12</f>
        <v>0.1996210709</v>
      </c>
      <c r="Q12" s="24">
        <f>1*'Standardized Data'!Q12</f>
        <v>0.1454863118</v>
      </c>
      <c r="R12" s="24">
        <f>1*'Standardized Data'!R12</f>
        <v>0.7099448238</v>
      </c>
      <c r="S12" s="24">
        <f>0.25*'Standardized Data'!S12</f>
        <v>0.03124995567</v>
      </c>
      <c r="T12" s="24">
        <f>0.25*'Standardized Data'!T12</f>
        <v>0.07599999983</v>
      </c>
      <c r="U12" s="24">
        <f>0.25*'Standardized Data'!U12</f>
        <v>0.164670949</v>
      </c>
      <c r="V12" s="24"/>
      <c r="W12" s="24"/>
      <c r="X12" s="24"/>
      <c r="Y12" s="24"/>
      <c r="Z12" s="24"/>
      <c r="AA12" s="24"/>
      <c r="AB12" s="24"/>
    </row>
    <row r="13">
      <c r="A13" s="24" t="s">
        <v>48</v>
      </c>
      <c r="B13" s="25">
        <v>88338.0</v>
      </c>
      <c r="C13" s="24">
        <f>0.5*'Standardized Data'!C13</f>
        <v>0.2776598953</v>
      </c>
      <c r="D13" s="24">
        <f>0.5*'Standardized Data'!D13</f>
        <v>0.2</v>
      </c>
      <c r="E13" s="24">
        <f>4*'Standardized Data'!E13</f>
        <v>1.492</v>
      </c>
      <c r="F13" s="24">
        <f>4*'Standardized Data'!F13</f>
        <v>3.35484</v>
      </c>
      <c r="G13" s="24">
        <f>2*'Standardized Data'!G13</f>
        <v>0.324</v>
      </c>
      <c r="H13" s="24">
        <f>2*'Standardized Data'!H13</f>
        <v>0.9579901271</v>
      </c>
      <c r="I13" s="24">
        <f>1*'Standardized Data'!I13</f>
        <v>0.4443433719</v>
      </c>
      <c r="J13" s="24">
        <f>1*'Standardized Data'!J13</f>
        <v>0.3589496804</v>
      </c>
      <c r="K13" s="24">
        <f>0.25*'Standardized Data'!K13</f>
        <v>0.2314148727</v>
      </c>
      <c r="L13" s="24">
        <f>0.25*'Standardized Data'!L13</f>
        <v>0.1118267027</v>
      </c>
      <c r="M13" s="24">
        <f>0.25*'Standardized Data'!M13</f>
        <v>0.1896858975</v>
      </c>
      <c r="N13" s="24">
        <f>0.25*'Standardized Data'!N13</f>
        <v>0.1920272078</v>
      </c>
      <c r="O13" s="24">
        <f>1*'Standardized Data'!O13</f>
        <v>0.44016491</v>
      </c>
      <c r="P13" s="24">
        <f>1*'Standardized Data'!P13</f>
        <v>0.5987744815</v>
      </c>
      <c r="Q13" s="24">
        <f>1*'Standardized Data'!Q13</f>
        <v>0.2645412812</v>
      </c>
      <c r="R13" s="24">
        <f>1*'Standardized Data'!R13</f>
        <v>0.7272184234</v>
      </c>
      <c r="S13" s="24">
        <f>0.25*'Standardized Data'!S13</f>
        <v>0.1163381846</v>
      </c>
      <c r="T13" s="24">
        <f>0.25*'Standardized Data'!T13</f>
        <v>0.06975067103</v>
      </c>
      <c r="U13" s="24">
        <f>0.25*'Standardized Data'!U13</f>
        <v>0.09460822898</v>
      </c>
      <c r="V13" s="24"/>
      <c r="W13" s="24"/>
      <c r="X13" s="24"/>
      <c r="Y13" s="24"/>
      <c r="Z13" s="24"/>
      <c r="AA13" s="24"/>
      <c r="AB13" s="24"/>
    </row>
    <row r="14">
      <c r="A14" s="24" t="s">
        <v>50</v>
      </c>
      <c r="B14" s="25">
        <v>240016.0</v>
      </c>
      <c r="C14" s="24">
        <f>0.5*'Standardized Data'!C14</f>
        <v>0.3956018158</v>
      </c>
      <c r="D14" s="24">
        <f>0.5*'Standardized Data'!D14</f>
        <v>0.1</v>
      </c>
      <c r="E14" s="24">
        <f>4*'Standardized Data'!E14</f>
        <v>2.384</v>
      </c>
      <c r="F14" s="24">
        <f>4*'Standardized Data'!F14</f>
        <v>2.258064</v>
      </c>
      <c r="G14" s="24">
        <f>2*'Standardized Data'!G14</f>
        <v>0.912</v>
      </c>
      <c r="H14" s="24">
        <f>2*'Standardized Data'!H14</f>
        <v>1.131022285</v>
      </c>
      <c r="I14" s="24">
        <f>1*'Standardized Data'!I14</f>
        <v>0.8198181107</v>
      </c>
      <c r="J14" s="24">
        <f>1*'Standardized Data'!J14</f>
        <v>0.7166616669</v>
      </c>
      <c r="K14" s="24">
        <f>0.25*'Standardized Data'!K14</f>
        <v>0.1660020526</v>
      </c>
      <c r="L14" s="24">
        <f>0.25*'Standardized Data'!L14</f>
        <v>0.08205715427</v>
      </c>
      <c r="M14" s="24">
        <f>0.25*'Standardized Data'!M14</f>
        <v>0.2016907506</v>
      </c>
      <c r="N14" s="24">
        <f>0.25*'Standardized Data'!N14</f>
        <v>0.231825337</v>
      </c>
      <c r="O14" s="24">
        <f>1*'Standardized Data'!O14</f>
        <v>0.3330937179</v>
      </c>
      <c r="P14" s="24">
        <f>1*'Standardized Data'!P14</f>
        <v>0.3351228146</v>
      </c>
      <c r="Q14" s="24">
        <f>1*'Standardized Data'!Q14</f>
        <v>0.5956773666</v>
      </c>
      <c r="R14" s="24">
        <f>1*'Standardized Data'!R14</f>
        <v>0.6919032612</v>
      </c>
      <c r="S14" s="24">
        <f>0.25*'Standardized Data'!S14</f>
        <v>0.1584752698</v>
      </c>
      <c r="T14" s="24">
        <f>0.25*'Standardized Data'!T14</f>
        <v>0.06450949577</v>
      </c>
      <c r="U14" s="24">
        <f>0.25*'Standardized Data'!U14</f>
        <v>0.1141425403</v>
      </c>
      <c r="V14" s="24"/>
      <c r="W14" s="24"/>
      <c r="X14" s="24"/>
      <c r="Y14" s="24"/>
      <c r="Z14" s="24"/>
      <c r="AA14" s="24"/>
      <c r="AB14" s="24"/>
    </row>
    <row r="15">
      <c r="A15" s="24" t="s">
        <v>51</v>
      </c>
      <c r="B15" s="25">
        <v>80574.0</v>
      </c>
      <c r="C15" s="24">
        <f>0.5*'Standardized Data'!C15</f>
        <v>0.2753448947</v>
      </c>
      <c r="D15" s="24">
        <f>0.5*'Standardized Data'!D15</f>
        <v>0.2</v>
      </c>
      <c r="E15" s="24">
        <f>4*'Standardized Data'!E15</f>
        <v>1.136</v>
      </c>
      <c r="F15" s="24">
        <f>4*'Standardized Data'!F15</f>
        <v>3.67742</v>
      </c>
      <c r="G15" s="24">
        <f>2*'Standardized Data'!G15</f>
        <v>0.33</v>
      </c>
      <c r="H15" s="24">
        <f>2*'Standardized Data'!H15</f>
        <v>0.9827666308</v>
      </c>
      <c r="I15" s="24">
        <f>1*'Standardized Data'!I15</f>
        <v>0.3085963626</v>
      </c>
      <c r="J15" s="24">
        <f>1*'Standardized Data'!J15</f>
        <v>0.3116422698</v>
      </c>
      <c r="K15" s="24">
        <f>0.25*'Standardized Data'!K15</f>
        <v>0.2450970451</v>
      </c>
      <c r="L15" s="24">
        <f>0.25*'Standardized Data'!L15</f>
        <v>0.08236054656</v>
      </c>
      <c r="M15" s="24">
        <f>0.25*'Standardized Data'!M15</f>
        <v>0.1831995317</v>
      </c>
      <c r="N15" s="24">
        <f>0.25*'Standardized Data'!N15</f>
        <v>0.1877590895</v>
      </c>
      <c r="O15" s="24">
        <f>1*'Standardized Data'!O15</f>
        <v>0.44016491</v>
      </c>
      <c r="P15" s="24">
        <f>1*'Standardized Data'!P15</f>
        <v>0.5880105454</v>
      </c>
      <c r="Q15" s="24">
        <f>1*'Standardized Data'!Q15</f>
        <v>0.397419718</v>
      </c>
      <c r="R15" s="24">
        <f>1*'Standardized Data'!R15</f>
        <v>0.6632418271</v>
      </c>
      <c r="S15" s="24">
        <f>0.25*'Standardized Data'!S15</f>
        <v>0.1597292877</v>
      </c>
      <c r="T15" s="24">
        <f>0.25*'Standardized Data'!T15</f>
        <v>0.06975067103</v>
      </c>
      <c r="U15" s="24">
        <f>0.25*'Standardized Data'!U15</f>
        <v>0.09654151676</v>
      </c>
      <c r="V15" s="24"/>
      <c r="W15" s="24"/>
      <c r="X15" s="24"/>
      <c r="Y15" s="24"/>
      <c r="Z15" s="24"/>
      <c r="AA15" s="24"/>
      <c r="AB15" s="24"/>
    </row>
    <row r="16">
      <c r="A16" s="24" t="s">
        <v>52</v>
      </c>
      <c r="B16" s="25">
        <v>11137.0</v>
      </c>
      <c r="C16" s="24">
        <f>0.5*'Standardized Data'!C16</f>
        <v>0.1558166967</v>
      </c>
      <c r="D16" s="24">
        <f>0.5*'Standardized Data'!D16</f>
        <v>0.1</v>
      </c>
      <c r="E16" s="24">
        <f>4*'Standardized Data'!E16</f>
        <v>1.436</v>
      </c>
      <c r="F16" s="24">
        <f>4*'Standardized Data'!F16</f>
        <v>3.548388</v>
      </c>
      <c r="G16" s="24">
        <f>2*'Standardized Data'!G16</f>
        <v>0.986</v>
      </c>
      <c r="H16" s="24">
        <f>2*'Standardized Data'!H16</f>
        <v>1.181438197</v>
      </c>
      <c r="I16" s="24">
        <f>1*'Standardized Data'!I16</f>
        <v>0.8841625982</v>
      </c>
      <c r="J16" s="24">
        <f>1*'Standardized Data'!J16</f>
        <v>0.4992259284</v>
      </c>
      <c r="K16" s="24">
        <f>0.25*'Standardized Data'!K16</f>
        <v>0.006800799139</v>
      </c>
      <c r="L16" s="24">
        <f>0.25*'Standardized Data'!L16</f>
        <v>0.171755094</v>
      </c>
      <c r="M16" s="24">
        <f>0.25*'Standardized Data'!M16</f>
        <v>0.1965249503</v>
      </c>
      <c r="N16" s="24">
        <f>0.25*'Standardized Data'!N16</f>
        <v>0.1210742445</v>
      </c>
      <c r="O16" s="24">
        <f>1*'Standardized Data'!O16</f>
        <v>0.1763664797</v>
      </c>
      <c r="P16" s="24">
        <f>1*'Standardized Data'!P16</f>
        <v>0.8936972928</v>
      </c>
      <c r="Q16" s="24">
        <f>1*'Standardized Data'!Q16</f>
        <v>0.8252626304</v>
      </c>
      <c r="R16" s="24">
        <f>1*'Standardized Data'!R16</f>
        <v>0</v>
      </c>
      <c r="S16" s="24">
        <f>0.25*'Standardized Data'!S16</f>
        <v>0.1584752698</v>
      </c>
      <c r="T16" s="24">
        <f>0.25*'Standardized Data'!T16</f>
        <v>0.0356927657</v>
      </c>
      <c r="U16" s="24">
        <f>0.25*'Standardized Data'!U16</f>
        <v>0.1249187654</v>
      </c>
      <c r="V16" s="24"/>
      <c r="W16" s="24"/>
      <c r="X16" s="24"/>
      <c r="Y16" s="24"/>
      <c r="Z16" s="24"/>
      <c r="AA16" s="24"/>
      <c r="AB16" s="24"/>
    </row>
    <row r="17">
      <c r="A17" s="24" t="s">
        <v>54</v>
      </c>
      <c r="B17" s="25">
        <v>69615.0</v>
      </c>
      <c r="C17" s="24">
        <f>0.5*'Standardized Data'!C17</f>
        <v>0.2561041422</v>
      </c>
      <c r="D17" s="24">
        <f>0.5*'Standardized Data'!D17</f>
        <v>0.4</v>
      </c>
      <c r="E17" s="24">
        <f>4*'Standardized Data'!E17</f>
        <v>1.084</v>
      </c>
      <c r="F17" s="24">
        <f>4*'Standardized Data'!F17</f>
        <v>3.35484</v>
      </c>
      <c r="G17" s="24">
        <f>2*'Standardized Data'!G17</f>
        <v>1.232</v>
      </c>
      <c r="H17" s="24">
        <f>2*'Standardized Data'!H17</f>
        <v>1.598225454</v>
      </c>
      <c r="I17" s="24">
        <f>1*'Standardized Data'!I17</f>
        <v>0.8681546493</v>
      </c>
      <c r="J17" s="24">
        <f>1*'Standardized Data'!J17</f>
        <v>0.6280371228</v>
      </c>
      <c r="K17" s="24">
        <f>0.25*'Standardized Data'!K17</f>
        <v>0.05135489438</v>
      </c>
      <c r="L17" s="24">
        <f>0.25*'Standardized Data'!L17</f>
        <v>0.2404337607</v>
      </c>
      <c r="M17" s="24">
        <f>0.25*'Standardized Data'!M17</f>
        <v>0.2000208538</v>
      </c>
      <c r="N17" s="24">
        <f>0.25*'Standardized Data'!N17</f>
        <v>0.1047645138</v>
      </c>
      <c r="O17" s="24">
        <f>1*'Standardized Data'!O17</f>
        <v>0.2955156838</v>
      </c>
      <c r="P17" s="24">
        <f>1*'Standardized Data'!P17</f>
        <v>0.5083634404</v>
      </c>
      <c r="Q17" s="24">
        <f>1*'Standardized Data'!Q17</f>
        <v>0.3445883331</v>
      </c>
      <c r="R17" s="24">
        <f>1*'Standardized Data'!R17</f>
        <v>0.7597052235</v>
      </c>
      <c r="S17" s="24">
        <f>0.25*'Standardized Data'!S17</f>
        <v>0.1135659302</v>
      </c>
      <c r="T17" s="24">
        <f>0.25*'Standardized Data'!T17</f>
        <v>0.06069339644</v>
      </c>
      <c r="U17" s="24">
        <f>0.25*'Standardized Data'!U17</f>
        <v>0.127805555</v>
      </c>
      <c r="V17" s="24"/>
      <c r="W17" s="24"/>
      <c r="X17" s="24"/>
      <c r="Y17" s="24"/>
      <c r="Z17" s="24"/>
      <c r="AA17" s="24"/>
      <c r="AB17" s="24"/>
    </row>
    <row r="18">
      <c r="A18" s="24" t="s">
        <v>55</v>
      </c>
      <c r="B18" s="25">
        <v>22807.0</v>
      </c>
      <c r="C18" s="24">
        <f>0.5*'Standardized Data'!C18</f>
        <v>0.1705675781</v>
      </c>
      <c r="D18" s="24">
        <f>0.5*'Standardized Data'!D18</f>
        <v>0.5</v>
      </c>
      <c r="E18" s="24">
        <f>4*'Standardized Data'!E18</f>
        <v>2.104</v>
      </c>
      <c r="F18" s="24">
        <f>4*'Standardized Data'!F18</f>
        <v>2.709676</v>
      </c>
      <c r="G18" s="24">
        <f>2*'Standardized Data'!G18</f>
        <v>0.214</v>
      </c>
      <c r="H18" s="24">
        <f>2*'Standardized Data'!H18</f>
        <v>0.9063404629</v>
      </c>
      <c r="I18" s="24">
        <f>1*'Standardized Data'!I18</f>
        <v>0.3621585697</v>
      </c>
      <c r="J18" s="24">
        <f>1*'Standardized Data'!J18</f>
        <v>0.2253223028</v>
      </c>
      <c r="K18" s="24">
        <f>0.25*'Standardized Data'!K18</f>
        <v>0.165154744</v>
      </c>
      <c r="L18" s="24">
        <f>0.25*'Standardized Data'!L18</f>
        <v>0.08765368543</v>
      </c>
      <c r="M18" s="24">
        <f>0.25*'Standardized Data'!M18</f>
        <v>0.2103901786</v>
      </c>
      <c r="N18" s="24">
        <f>0.25*'Standardized Data'!N18</f>
        <v>0.1834328999</v>
      </c>
      <c r="O18" s="24">
        <f>1*'Standardized Data'!O18</f>
        <v>0.44016491</v>
      </c>
      <c r="P18" s="24">
        <f>1*'Standardized Data'!P18</f>
        <v>0.8128319059</v>
      </c>
      <c r="Q18" s="24">
        <f>1*'Standardized Data'!Q18</f>
        <v>0.7334162221</v>
      </c>
      <c r="R18" s="24">
        <f>1*'Standardized Data'!R18</f>
        <v>0.6730222601</v>
      </c>
      <c r="S18" s="24">
        <f>0.25*'Standardized Data'!S18</f>
        <v>0.167179386</v>
      </c>
      <c r="T18" s="24">
        <f>0.25*'Standardized Data'!T18</f>
        <v>0.05657169518</v>
      </c>
      <c r="U18" s="24">
        <f>0.25*'Standardized Data'!U18</f>
        <v>0.05188792726</v>
      </c>
      <c r="V18" s="24"/>
      <c r="W18" s="24"/>
      <c r="X18" s="24"/>
      <c r="Y18" s="24"/>
      <c r="Z18" s="24"/>
      <c r="AA18" s="24"/>
      <c r="AB18" s="24"/>
    </row>
    <row r="19">
      <c r="A19" s="24" t="s">
        <v>57</v>
      </c>
      <c r="B19" s="25">
        <v>164645.0</v>
      </c>
      <c r="C19" s="24">
        <f>0.5*'Standardized Data'!C19</f>
        <v>0.3524936183</v>
      </c>
      <c r="D19" s="24">
        <f>0.5*'Standardized Data'!D19</f>
        <v>0.2</v>
      </c>
      <c r="E19" s="24">
        <f>4*'Standardized Data'!E19</f>
        <v>1.824</v>
      </c>
      <c r="F19" s="24">
        <f>4*'Standardized Data'!F19</f>
        <v>3.225808</v>
      </c>
      <c r="G19" s="24">
        <f>2*'Standardized Data'!G19</f>
        <v>0.946</v>
      </c>
      <c r="H19" s="24">
        <f>2*'Standardized Data'!H19</f>
        <v>1.088388699</v>
      </c>
      <c r="I19" s="24">
        <f>1*'Standardized Data'!I19</f>
        <v>0.5821354994</v>
      </c>
      <c r="J19" s="24">
        <f>1*'Standardized Data'!J19</f>
        <v>0.4788707581</v>
      </c>
      <c r="K19" s="24">
        <f>0.25*'Standardized Data'!K19</f>
        <v>0.1947739783</v>
      </c>
      <c r="L19" s="24">
        <f>0.25*'Standardized Data'!L19</f>
        <v>0.128705007</v>
      </c>
      <c r="M19" s="24">
        <f>0.25*'Standardized Data'!M19</f>
        <v>0.2003751503</v>
      </c>
      <c r="N19" s="24">
        <f>0.25*'Standardized Data'!N19</f>
        <v>0.2085488479</v>
      </c>
      <c r="O19" s="24">
        <f>1*'Standardized Data'!O19</f>
        <v>0.369695588</v>
      </c>
      <c r="P19" s="24">
        <f>1*'Standardized Data'!P19</f>
        <v>0.4345733356</v>
      </c>
      <c r="Q19" s="24">
        <f>1*'Standardized Data'!Q19</f>
        <v>0.2958772357</v>
      </c>
      <c r="R19" s="24">
        <f>1*'Standardized Data'!R19</f>
        <v>0.6532198777</v>
      </c>
      <c r="S19" s="24">
        <f>0.25*'Standardized Data'!S19</f>
        <v>0.1418398244</v>
      </c>
      <c r="T19" s="24">
        <f>0.25*'Standardized Data'!T19</f>
        <v>0.06975067103</v>
      </c>
      <c r="U19" s="24">
        <f>0.25*'Standardized Data'!U19</f>
        <v>0.09654151676</v>
      </c>
      <c r="V19" s="24"/>
      <c r="W19" s="24"/>
      <c r="X19" s="24"/>
      <c r="Y19" s="24"/>
      <c r="Z19" s="24"/>
      <c r="AA19" s="24"/>
      <c r="AB19" s="24"/>
    </row>
    <row r="20">
      <c r="A20" s="24" t="s">
        <v>59</v>
      </c>
      <c r="B20" s="25">
        <v>81624.0</v>
      </c>
      <c r="C20" s="24">
        <f>0.5*'Standardized Data'!C20</f>
        <v>0.2447618847</v>
      </c>
      <c r="D20" s="24">
        <f>0.5*'Standardized Data'!D20</f>
        <v>0.2</v>
      </c>
      <c r="E20" s="24">
        <f>4*'Standardized Data'!E20</f>
        <v>1.94</v>
      </c>
      <c r="F20" s="24">
        <f>4*'Standardized Data'!F20</f>
        <v>1.548388</v>
      </c>
      <c r="G20" s="24">
        <f>2*'Standardized Data'!G20</f>
        <v>2</v>
      </c>
      <c r="H20" s="24">
        <f>2*'Standardized Data'!H20</f>
        <v>1.9891024</v>
      </c>
      <c r="I20" s="24">
        <f>1*'Standardized Data'!I20</f>
        <v>0.7436778827</v>
      </c>
      <c r="J20" s="24">
        <f>1*'Standardized Data'!J20</f>
        <v>0.8551315355</v>
      </c>
      <c r="K20" s="24">
        <f>0.25*'Standardized Data'!K20</f>
        <v>0.1597837832</v>
      </c>
      <c r="L20" s="24">
        <f>0.25*'Standardized Data'!L20</f>
        <v>0.1461981751</v>
      </c>
      <c r="M20" s="24">
        <f>0.25*'Standardized Data'!M20</f>
        <v>0.2200007512</v>
      </c>
      <c r="N20" s="24">
        <f>0.25*'Standardized Data'!N20</f>
        <v>0.1920272078</v>
      </c>
      <c r="O20" s="24">
        <f>1*'Standardized Data'!O20</f>
        <v>0</v>
      </c>
      <c r="P20" s="24">
        <f>1*'Standardized Data'!P20</f>
        <v>0.5205500795</v>
      </c>
      <c r="Q20" s="24">
        <f>1*'Standardized Data'!Q20</f>
        <v>0.6827659525</v>
      </c>
      <c r="R20" s="24">
        <f>1*'Standardized Data'!R20</f>
        <v>0.5364588354</v>
      </c>
      <c r="S20" s="24">
        <f>0.25*'Standardized Data'!S20</f>
        <v>0.1008703874</v>
      </c>
      <c r="T20" s="24">
        <f>0.25*'Standardized Data'!T20</f>
        <v>0.0356927657</v>
      </c>
      <c r="U20" s="24">
        <f>0.25*'Standardized Data'!U20</f>
        <v>0.06812943219</v>
      </c>
      <c r="V20" s="24"/>
      <c r="W20" s="24"/>
      <c r="X20" s="24"/>
      <c r="Y20" s="24"/>
      <c r="Z20" s="24"/>
      <c r="AA20" s="24"/>
      <c r="AB20" s="24"/>
    </row>
    <row r="21">
      <c r="A21" s="24" t="s">
        <v>61</v>
      </c>
      <c r="B21" s="25">
        <v>29959.0</v>
      </c>
      <c r="C21" s="24">
        <f>0.5*'Standardized Data'!C21</f>
        <v>0.1903344277</v>
      </c>
      <c r="D21" s="24">
        <f>0.5*'Standardized Data'!D21</f>
        <v>0.5</v>
      </c>
      <c r="E21" s="24">
        <f>4*'Standardized Data'!E21</f>
        <v>0.876</v>
      </c>
      <c r="F21" s="24">
        <f>4*'Standardized Data'!F21</f>
        <v>3.806452</v>
      </c>
      <c r="G21" s="24">
        <f>2*'Standardized Data'!G21</f>
        <v>0.174</v>
      </c>
      <c r="H21" s="24">
        <f>2*'Standardized Data'!H21</f>
        <v>1.056590321</v>
      </c>
      <c r="I21" s="24">
        <f>1*'Standardized Data'!I21</f>
        <v>0.7981828977</v>
      </c>
      <c r="J21" s="24">
        <f>1*'Standardized Data'!J21</f>
        <v>0.4625236649</v>
      </c>
      <c r="K21" s="24">
        <f>0.25*'Standardized Data'!K21</f>
        <v>0.2383521057</v>
      </c>
      <c r="L21" s="24">
        <f>0.25*'Standardized Data'!L21</f>
        <v>0.1214482772</v>
      </c>
      <c r="M21" s="24">
        <f>0.25*'Standardized Data'!M21</f>
        <v>0.1721228961</v>
      </c>
      <c r="N21" s="24">
        <f>0.25*'Standardized Data'!N21</f>
        <v>0.1263300673</v>
      </c>
      <c r="O21" s="24">
        <f>1*'Standardized Data'!O21</f>
        <v>0.4741205957</v>
      </c>
      <c r="P21" s="24">
        <f>1*'Standardized Data'!P21</f>
        <v>0.6002322863</v>
      </c>
      <c r="Q21" s="24">
        <f>1*'Standardized Data'!Q21</f>
        <v>0.397419718</v>
      </c>
      <c r="R21" s="24">
        <f>1*'Standardized Data'!R21</f>
        <v>0.6919032612</v>
      </c>
      <c r="S21" s="24">
        <f>0.25*'Standardized Data'!S21</f>
        <v>0.1107761298</v>
      </c>
      <c r="T21" s="24">
        <f>0.25*'Standardized Data'!T21</f>
        <v>0.08778391651</v>
      </c>
      <c r="U21" s="24">
        <f>0.25*'Standardized Data'!U21</f>
        <v>0.1386213227</v>
      </c>
      <c r="V21" s="24"/>
      <c r="W21" s="24"/>
      <c r="X21" s="24"/>
      <c r="Y21" s="24"/>
      <c r="Z21" s="24"/>
      <c r="AA21" s="24"/>
      <c r="AB21" s="24"/>
    </row>
    <row r="22">
      <c r="A22" s="24" t="s">
        <v>63</v>
      </c>
      <c r="B22" s="25">
        <v>13891.0</v>
      </c>
      <c r="C22" s="24">
        <f>0.5*'Standardized Data'!C22</f>
        <v>0.206554634</v>
      </c>
      <c r="D22" s="24">
        <f>0.5*'Standardized Data'!D22</f>
        <v>0.5</v>
      </c>
      <c r="E22" s="24">
        <f>4*'Standardized Data'!E22</f>
        <v>2.128</v>
      </c>
      <c r="F22" s="24">
        <f>4*'Standardized Data'!F22</f>
        <v>2.64516</v>
      </c>
      <c r="G22" s="24">
        <f>2*'Standardized Data'!G22</f>
        <v>0.802</v>
      </c>
      <c r="H22" s="24">
        <f>2*'Standardized Data'!H22</f>
        <v>0.8352462126</v>
      </c>
      <c r="I22" s="24">
        <f>1*'Standardized Data'!I22</f>
        <v>0.5764700261</v>
      </c>
      <c r="J22" s="24">
        <f>1*'Standardized Data'!J22</f>
        <v>0.4695867161</v>
      </c>
      <c r="K22" s="24">
        <f>0.25*'Standardized Data'!K22</f>
        <v>0.0467853193</v>
      </c>
      <c r="L22" s="24">
        <f>0.25*'Standardized Data'!L22</f>
        <v>0.1680015597</v>
      </c>
      <c r="M22" s="24">
        <f>0.25*'Standardized Data'!M22</f>
        <v>0.2059645606</v>
      </c>
      <c r="N22" s="24">
        <f>0.25*'Standardized Data'!N22</f>
        <v>0.1047645138</v>
      </c>
      <c r="O22" s="24">
        <f>1*'Standardized Data'!O22</f>
        <v>0.44016491</v>
      </c>
      <c r="P22" s="24">
        <f>1*'Standardized Data'!P22</f>
        <v>0.7182225443</v>
      </c>
      <c r="Q22" s="24">
        <f>1*'Standardized Data'!Q22</f>
        <v>0.6686253498</v>
      </c>
      <c r="R22" s="24">
        <f>1*'Standardized Data'!R22</f>
        <v>0.8040257578</v>
      </c>
      <c r="S22" s="24">
        <f>0.25*'Standardized Data'!S22</f>
        <v>0.2049168142</v>
      </c>
      <c r="T22" s="24">
        <f>0.25*'Standardized Data'!T22</f>
        <v>0.06263678844</v>
      </c>
      <c r="U22" s="24">
        <f>0.25*'Standardized Data'!U22</f>
        <v>0.09654151676</v>
      </c>
      <c r="V22" s="24"/>
      <c r="W22" s="24"/>
      <c r="X22" s="24"/>
      <c r="Y22" s="24"/>
      <c r="Z22" s="24"/>
      <c r="AA22" s="24"/>
      <c r="AB22" s="24"/>
    </row>
    <row r="23">
      <c r="A23" s="24" t="s">
        <v>65</v>
      </c>
      <c r="B23" s="25">
        <v>11864.0</v>
      </c>
      <c r="C23" s="24">
        <f>0.5*'Standardized Data'!C23</f>
        <v>0.1761771046</v>
      </c>
      <c r="D23" s="24">
        <f>0.5*'Standardized Data'!D23</f>
        <v>0.5</v>
      </c>
      <c r="E23" s="24">
        <f>4*'Standardized Data'!E23</f>
        <v>0.704</v>
      </c>
      <c r="F23" s="24">
        <f>4*'Standardized Data'!F23</f>
        <v>3.612904</v>
      </c>
      <c r="G23" s="24">
        <f>2*'Standardized Data'!G23</f>
        <v>0.264</v>
      </c>
      <c r="H23" s="24">
        <f>2*'Standardized Data'!H23</f>
        <v>1.34011847</v>
      </c>
      <c r="I23" s="24">
        <f>1*'Standardized Data'!I23</f>
        <v>0.7161988555</v>
      </c>
      <c r="J23" s="24">
        <f>1*'Standardized Data'!J23</f>
        <v>0.6118366928</v>
      </c>
      <c r="K23" s="24">
        <f>0.25*'Standardized Data'!K23</f>
        <v>0.2418336999</v>
      </c>
      <c r="L23" s="24">
        <f>0.25*'Standardized Data'!L23</f>
        <v>0.1033801556</v>
      </c>
      <c r="M23" s="24">
        <f>0.25*'Standardized Data'!M23</f>
        <v>0.1542676573</v>
      </c>
      <c r="N23" s="24">
        <f>0.25*'Standardized Data'!N23</f>
        <v>0.125</v>
      </c>
      <c r="O23" s="24">
        <f>1*'Standardized Data'!O23</f>
        <v>0.4741205957</v>
      </c>
      <c r="P23" s="24">
        <f>1*'Standardized Data'!P23</f>
        <v>0.7522792217</v>
      </c>
      <c r="Q23" s="24">
        <f>1*'Standardized Data'!Q23</f>
        <v>0.3505587674</v>
      </c>
      <c r="R23" s="24">
        <f>1*'Standardized Data'!R23</f>
        <v>0.6730222601</v>
      </c>
      <c r="S23" s="24">
        <f>0.25*'Standardized Data'!S23</f>
        <v>0.1245518443</v>
      </c>
      <c r="T23" s="24">
        <f>0.25*'Standardized Data'!T23</f>
        <v>0.06631648033</v>
      </c>
      <c r="U23" s="24">
        <f>0.25*'Standardized Data'!U23</f>
        <v>0.1204346322</v>
      </c>
      <c r="V23" s="24"/>
      <c r="W23" s="24"/>
      <c r="X23" s="24"/>
      <c r="Y23" s="24"/>
      <c r="Z23" s="24"/>
      <c r="AA23" s="24"/>
      <c r="AB23" s="24"/>
    </row>
    <row r="24">
      <c r="A24" s="24" t="s">
        <v>68</v>
      </c>
      <c r="B24" s="25">
        <v>101378.0</v>
      </c>
      <c r="C24" s="24">
        <f>0.5*'Standardized Data'!C24</f>
        <v>0.2949769796</v>
      </c>
      <c r="D24" s="24">
        <f>0.5*'Standardized Data'!D24</f>
        <v>0.4</v>
      </c>
      <c r="E24" s="24">
        <f>4*'Standardized Data'!E24</f>
        <v>1.836</v>
      </c>
      <c r="F24" s="24">
        <f>4*'Standardized Data'!F24</f>
        <v>3.096776</v>
      </c>
      <c r="G24" s="24">
        <f>2*'Standardized Data'!G24</f>
        <v>0.366</v>
      </c>
      <c r="H24" s="24">
        <f>2*'Standardized Data'!H24</f>
        <v>0.7874923053</v>
      </c>
      <c r="I24" s="24">
        <f>1*'Standardized Data'!I24</f>
        <v>0.5821354994</v>
      </c>
      <c r="J24" s="24">
        <f>1*'Standardized Data'!J24</f>
        <v>0.3839390778</v>
      </c>
      <c r="K24" s="24">
        <f>0.25*'Standardized Data'!K24</f>
        <v>0.2149859688</v>
      </c>
      <c r="L24" s="24">
        <f>0.25*'Standardized Data'!L24</f>
        <v>0.09272418783</v>
      </c>
      <c r="M24" s="24">
        <f>0.25*'Standardized Data'!M24</f>
        <v>0.2172525476</v>
      </c>
      <c r="N24" s="24">
        <f>0.25*'Standardized Data'!N24</f>
        <v>0.2164985129</v>
      </c>
      <c r="O24" s="24">
        <f>1*'Standardized Data'!O24</f>
        <v>0.44016491</v>
      </c>
      <c r="P24" s="24">
        <f>1*'Standardized Data'!P24</f>
        <v>0.4746929366</v>
      </c>
      <c r="Q24" s="24">
        <f>1*'Standardized Data'!Q24</f>
        <v>0.391647885</v>
      </c>
      <c r="R24" s="24">
        <f>1*'Standardized Data'!R24</f>
        <v>0.6429441812</v>
      </c>
      <c r="S24" s="24">
        <f>0.25*'Standardized Data'!S24</f>
        <v>0.1888027017</v>
      </c>
      <c r="T24" s="24">
        <f>0.25*'Standardized Data'!T24</f>
        <v>0.07599999983</v>
      </c>
      <c r="U24" s="24">
        <f>0.25*'Standardized Data'!U24</f>
        <v>0.1003048178</v>
      </c>
      <c r="V24" s="24"/>
      <c r="W24" s="24"/>
      <c r="X24" s="24"/>
      <c r="Y24" s="24"/>
      <c r="Z24" s="24"/>
      <c r="AA24" s="24"/>
      <c r="AB24" s="24"/>
    </row>
    <row r="25">
      <c r="A25" s="24" t="s">
        <v>70</v>
      </c>
      <c r="B25" s="25">
        <v>50121.0</v>
      </c>
      <c r="C25" s="24">
        <f>0.5*'Standardized Data'!C25</f>
        <v>0.1741353582</v>
      </c>
      <c r="D25" s="24">
        <f>0.5*'Standardized Data'!D25</f>
        <v>0.5</v>
      </c>
      <c r="E25" s="24">
        <f>4*'Standardized Data'!E25</f>
        <v>2.248</v>
      </c>
      <c r="F25" s="24">
        <f>4*'Standardized Data'!F25</f>
        <v>3.03226</v>
      </c>
      <c r="G25" s="24">
        <f>2*'Standardized Data'!G25</f>
        <v>0.3</v>
      </c>
      <c r="H25" s="24">
        <f>2*'Standardized Data'!H25</f>
        <v>0.6440707169</v>
      </c>
      <c r="I25" s="24">
        <f>1*'Standardized Data'!I25</f>
        <v>0.5251871034</v>
      </c>
      <c r="J25" s="24">
        <f>1*'Standardized Data'!J25</f>
        <v>0.1921330126</v>
      </c>
      <c r="K25" s="24">
        <f>0.25*'Standardized Data'!K25</f>
        <v>0.08576748742</v>
      </c>
      <c r="L25" s="24">
        <f>0.25*'Standardized Data'!L25</f>
        <v>0.1316662033</v>
      </c>
      <c r="M25" s="24">
        <f>0.25*'Standardized Data'!M25</f>
        <v>0.2229688541</v>
      </c>
      <c r="N25" s="24">
        <f>0.25*'Standardized Data'!N25</f>
        <v>0.1465254273</v>
      </c>
      <c r="O25" s="24">
        <f>1*'Standardized Data'!O25</f>
        <v>0.369695588</v>
      </c>
      <c r="P25" s="24">
        <f>1*'Standardized Data'!P25</f>
        <v>0.5681009132</v>
      </c>
      <c r="Q25" s="24">
        <f>1*'Standardized Data'!Q25</f>
        <v>0.5186821887</v>
      </c>
      <c r="R25" s="24">
        <f>1*'Standardized Data'!R25</f>
        <v>0.6429441812</v>
      </c>
      <c r="S25" s="24">
        <f>0.25*'Standardized Data'!S25</f>
        <v>0.2026505522</v>
      </c>
      <c r="T25" s="24">
        <f>0.25*'Standardized Data'!T25</f>
        <v>0.06450949577</v>
      </c>
      <c r="U25" s="24">
        <f>0.25*'Standardized Data'!U25</f>
        <v>0.08437093712</v>
      </c>
      <c r="V25" s="24"/>
      <c r="W25" s="24"/>
      <c r="X25" s="24"/>
      <c r="Y25" s="24"/>
      <c r="Z25" s="24"/>
      <c r="AA25" s="24"/>
      <c r="AB25" s="24"/>
    </row>
    <row r="26">
      <c r="A26" s="24" t="s">
        <v>72</v>
      </c>
      <c r="B26" s="25">
        <v>102391.0</v>
      </c>
      <c r="C26" s="24">
        <f>0.5*'Standardized Data'!C26</f>
        <v>0.2595798099</v>
      </c>
      <c r="D26" s="24">
        <f>0.5*'Standardized Data'!D26</f>
        <v>0.4</v>
      </c>
      <c r="E26" s="24">
        <f>4*'Standardized Data'!E26</f>
        <v>2.148</v>
      </c>
      <c r="F26" s="24">
        <f>4*'Standardized Data'!F26</f>
        <v>2.64516</v>
      </c>
      <c r="G26" s="24">
        <f>2*'Standardized Data'!G26</f>
        <v>0.896</v>
      </c>
      <c r="H26" s="24">
        <f>2*'Standardized Data'!H26</f>
        <v>0.9695580449</v>
      </c>
      <c r="I26" s="24">
        <f>1*'Standardized Data'!I26</f>
        <v>0.8198181107</v>
      </c>
      <c r="J26" s="24">
        <f>1*'Standardized Data'!J26</f>
        <v>0.5036528004</v>
      </c>
      <c r="K26" s="24">
        <f>0.25*'Standardized Data'!K26</f>
        <v>0.05676191395</v>
      </c>
      <c r="L26" s="24">
        <f>0.25*'Standardized Data'!L26</f>
        <v>0.1699249874</v>
      </c>
      <c r="M26" s="24">
        <f>0.25*'Standardized Data'!M26</f>
        <v>0.2160704261</v>
      </c>
      <c r="N26" s="24">
        <f>0.25*'Standardized Data'!N26</f>
        <v>0.1047645138</v>
      </c>
      <c r="O26" s="24">
        <f>1*'Standardized Data'!O26</f>
        <v>0.44016491</v>
      </c>
      <c r="P26" s="24">
        <f>1*'Standardized Data'!P26</f>
        <v>0.4570842104</v>
      </c>
      <c r="Q26" s="24">
        <f>1*'Standardized Data'!Q26</f>
        <v>0.1930061932</v>
      </c>
      <c r="R26" s="24">
        <f>1*'Standardized Data'!R26</f>
        <v>0.7597052235</v>
      </c>
      <c r="S26" s="24">
        <f>0.25*'Standardized Data'!S26</f>
        <v>0.1622266711</v>
      </c>
      <c r="T26" s="24">
        <f>0.25*'Standardized Data'!T26</f>
        <v>0.06450949577</v>
      </c>
      <c r="U26" s="24">
        <f>0.25*'Standardized Data'!U26</f>
        <v>0.1141425403</v>
      </c>
      <c r="V26" s="24"/>
      <c r="W26" s="24"/>
      <c r="X26" s="24"/>
      <c r="Y26" s="24"/>
      <c r="Z26" s="24"/>
      <c r="AA26" s="24"/>
      <c r="AB26" s="24"/>
    </row>
    <row r="27">
      <c r="A27" s="24" t="s">
        <v>73</v>
      </c>
      <c r="B27" s="25">
        <v>337890.0</v>
      </c>
      <c r="C27" s="24">
        <f>0.5*'Standardized Data'!C27</f>
        <v>0.3701219804</v>
      </c>
      <c r="D27" s="24">
        <f>0.5*'Standardized Data'!D27</f>
        <v>0.2</v>
      </c>
      <c r="E27" s="24">
        <f>4*'Standardized Data'!E27</f>
        <v>2.74</v>
      </c>
      <c r="F27" s="24">
        <f>4*'Standardized Data'!F27</f>
        <v>1.483872</v>
      </c>
      <c r="G27" s="24">
        <f>2*'Standardized Data'!G27</f>
        <v>0.408</v>
      </c>
      <c r="H27" s="24">
        <f>2*'Standardized Data'!H27</f>
        <v>0.8104557701</v>
      </c>
      <c r="I27" s="24">
        <f>1*'Standardized Data'!I27</f>
        <v>0.8628071518</v>
      </c>
      <c r="J27" s="24">
        <f>1*'Standardized Data'!J27</f>
        <v>0.5295193112</v>
      </c>
      <c r="K27" s="24">
        <f>0.25*'Standardized Data'!K27</f>
        <v>0.140223909</v>
      </c>
      <c r="L27" s="24">
        <f>0.25*'Standardized Data'!L27</f>
        <v>0.1041684785</v>
      </c>
      <c r="M27" s="24">
        <f>0.25*'Standardized Data'!M27</f>
        <v>0.2025198995</v>
      </c>
      <c r="N27" s="24">
        <f>0.25*'Standardized Data'!N27</f>
        <v>0.1608723737</v>
      </c>
      <c r="O27" s="24">
        <f>1*'Standardized Data'!O27</f>
        <v>0.44016491</v>
      </c>
      <c r="P27" s="24">
        <f>1*'Standardized Data'!P27</f>
        <v>0.3138305743</v>
      </c>
      <c r="Q27" s="24">
        <f>1*'Standardized Data'!Q27</f>
        <v>0.2062897763</v>
      </c>
      <c r="R27" s="24">
        <f>1*'Standardized Data'!R27</f>
        <v>0.9732297498</v>
      </c>
      <c r="S27" s="24">
        <f>0.25*'Standardized Data'!S27</f>
        <v>0.1957810055</v>
      </c>
      <c r="T27" s="24">
        <f>0.25*'Standardized Data'!T27</f>
        <v>0.09118034134</v>
      </c>
      <c r="U27" s="24">
        <f>0.25*'Standardized Data'!U27</f>
        <v>0.1563211378</v>
      </c>
      <c r="V27" s="24"/>
      <c r="W27" s="24"/>
      <c r="X27" s="24"/>
      <c r="Y27" s="24"/>
      <c r="Z27" s="24"/>
      <c r="AA27" s="24"/>
      <c r="AB27" s="24"/>
    </row>
    <row r="28">
      <c r="A28" s="24" t="s">
        <v>75</v>
      </c>
      <c r="B28" s="25">
        <v>31593.0</v>
      </c>
      <c r="C28" s="24">
        <f>0.5*'Standardized Data'!C28</f>
        <v>0.2462367032</v>
      </c>
      <c r="D28" s="24">
        <f>0.5*'Standardized Data'!D28</f>
        <v>0.1</v>
      </c>
      <c r="E28" s="24">
        <f>4*'Standardized Data'!E28</f>
        <v>1.172</v>
      </c>
      <c r="F28" s="24">
        <f>4*'Standardized Data'!F28</f>
        <v>3.548388</v>
      </c>
      <c r="G28" s="24">
        <f>2*'Standardized Data'!G28</f>
        <v>1.164</v>
      </c>
      <c r="H28" s="24">
        <f>2*'Standardized Data'!H28</f>
        <v>1.69555703</v>
      </c>
      <c r="I28" s="24">
        <f>1*'Standardized Data'!I28</f>
        <v>0.9318784332</v>
      </c>
      <c r="J28" s="24">
        <f>1*'Standardized Data'!J28</f>
        <v>0.572154238</v>
      </c>
      <c r="K28" s="24">
        <f>0.25*'Standardized Data'!K28</f>
        <v>0.05207023141</v>
      </c>
      <c r="L28" s="24">
        <f>0.25*'Standardized Data'!L28</f>
        <v>0.2086832146</v>
      </c>
      <c r="M28" s="24">
        <f>0.25*'Standardized Data'!M28</f>
        <v>0.184885732</v>
      </c>
      <c r="N28" s="24">
        <f>0.25*'Standardized Data'!N28</f>
        <v>0.1210742445</v>
      </c>
      <c r="O28" s="24">
        <f>1*'Standardized Data'!O28</f>
        <v>0</v>
      </c>
      <c r="P28" s="24">
        <f>1*'Standardized Data'!P28</f>
        <v>0.7491615809</v>
      </c>
      <c r="Q28" s="24">
        <f>1*'Standardized Data'!Q28</f>
        <v>1</v>
      </c>
      <c r="R28" s="24">
        <f>1*'Standardized Data'!R28</f>
        <v>0.5364588354</v>
      </c>
      <c r="S28" s="24">
        <f>0.25*'Standardized Data'!S28</f>
        <v>0.1483125837</v>
      </c>
      <c r="T28" s="24">
        <f>0.25*'Standardized Data'!T28</f>
        <v>0.05657169518</v>
      </c>
      <c r="U28" s="24">
        <f>0.25*'Standardized Data'!U28</f>
        <v>0.2036461924</v>
      </c>
      <c r="V28" s="24"/>
      <c r="W28" s="24"/>
      <c r="X28" s="24"/>
      <c r="Y28" s="24"/>
      <c r="Z28" s="24"/>
      <c r="AA28" s="24"/>
      <c r="AB28" s="24"/>
    </row>
    <row r="29">
      <c r="A29" s="24" t="s">
        <v>76</v>
      </c>
      <c r="B29" s="25">
        <v>38110.0</v>
      </c>
      <c r="C29" s="24">
        <f>0.5*'Standardized Data'!C29</f>
        <v>0.2262979583</v>
      </c>
      <c r="D29" s="24">
        <f>0.5*'Standardized Data'!D29</f>
        <v>0.4</v>
      </c>
      <c r="E29" s="24">
        <f>4*'Standardized Data'!E29</f>
        <v>0.984</v>
      </c>
      <c r="F29" s="24">
        <f>4*'Standardized Data'!F29</f>
        <v>2.580644</v>
      </c>
      <c r="G29" s="24">
        <f>2*'Standardized Data'!G29</f>
        <v>1.856</v>
      </c>
      <c r="H29" s="24">
        <f>2*'Standardized Data'!H29</f>
        <v>1.817438146</v>
      </c>
      <c r="I29" s="24">
        <f>1*'Standardized Data'!I29</f>
        <v>1</v>
      </c>
      <c r="J29" s="24">
        <f>1*'Standardized Data'!J29</f>
        <v>0.7893979195</v>
      </c>
      <c r="K29" s="24">
        <f>0.25*'Standardized Data'!K29</f>
        <v>0.0702031118</v>
      </c>
      <c r="L29" s="24">
        <f>0.25*'Standardized Data'!L29</f>
        <v>0.25</v>
      </c>
      <c r="M29" s="24">
        <f>0.25*'Standardized Data'!M29</f>
        <v>0</v>
      </c>
      <c r="N29" s="24">
        <f>0.25*'Standardized Data'!N29</f>
        <v>0.1157300845</v>
      </c>
      <c r="O29" s="24">
        <f>1*'Standardized Data'!O29</f>
        <v>0.09094076347</v>
      </c>
      <c r="P29" s="24">
        <f>1*'Standardized Data'!P29</f>
        <v>0.7364976285</v>
      </c>
      <c r="Q29" s="24">
        <f>1*'Standardized Data'!Q29</f>
        <v>0.2128842012</v>
      </c>
      <c r="R29" s="24">
        <f>1*'Standardized Data'!R29</f>
        <v>0.4936963388</v>
      </c>
      <c r="S29" s="24">
        <f>0.25*'Standardized Data'!S29</f>
        <v>0.09073690691</v>
      </c>
      <c r="T29" s="24">
        <f>0.25*'Standardized Data'!T29</f>
        <v>0.07745062466</v>
      </c>
      <c r="U29" s="24">
        <f>0.25*'Standardized Data'!U29</f>
        <v>0.25</v>
      </c>
      <c r="V29" s="24"/>
      <c r="W29" s="24"/>
      <c r="X29" s="24"/>
      <c r="Y29" s="24"/>
      <c r="Z29" s="24"/>
      <c r="AA29" s="24"/>
      <c r="AB29" s="24"/>
    </row>
    <row r="30">
      <c r="A30" s="24" t="s">
        <v>77</v>
      </c>
      <c r="B30" s="25">
        <v>174804.0</v>
      </c>
      <c r="C30" s="24">
        <f>0.5*'Standardized Data'!C30</f>
        <v>0.3297469464</v>
      </c>
      <c r="D30" s="24">
        <f>0.5*'Standardized Data'!D30</f>
        <v>0.2</v>
      </c>
      <c r="E30" s="24">
        <f>4*'Standardized Data'!E30</f>
        <v>1.58</v>
      </c>
      <c r="F30" s="24">
        <f>4*'Standardized Data'!F30</f>
        <v>3.548388</v>
      </c>
      <c r="G30" s="24">
        <f>2*'Standardized Data'!G30</f>
        <v>0.516</v>
      </c>
      <c r="H30" s="24">
        <f>2*'Standardized Data'!H30</f>
        <v>0.9220264323</v>
      </c>
      <c r="I30" s="24">
        <f>1*'Standardized Data'!I30</f>
        <v>0.5934470475</v>
      </c>
      <c r="J30" s="24">
        <f>1*'Standardized Data'!J30</f>
        <v>0.3729669329</v>
      </c>
      <c r="K30" s="24">
        <f>0.25*'Standardized Data'!K30</f>
        <v>0.1773592483</v>
      </c>
      <c r="L30" s="24">
        <f>0.25*'Standardized Data'!L30</f>
        <v>0.1280380339</v>
      </c>
      <c r="M30" s="24">
        <f>0.25*'Standardized Data'!M30</f>
        <v>0.2060582084</v>
      </c>
      <c r="N30" s="24">
        <f>0.25*'Standardized Data'!N30</f>
        <v>0.2242542642</v>
      </c>
      <c r="O30" s="24">
        <f>1*'Standardized Data'!O30</f>
        <v>0.4741205957</v>
      </c>
      <c r="P30" s="24">
        <f>1*'Standardized Data'!P30</f>
        <v>0.5026405689</v>
      </c>
      <c r="Q30" s="24">
        <f>1*'Standardized Data'!Q30</f>
        <v>0.4371642196</v>
      </c>
      <c r="R30" s="24">
        <f>1*'Standardized Data'!R30</f>
        <v>0.5226992692</v>
      </c>
      <c r="S30" s="24">
        <f>0.25*'Standardized Data'!S30</f>
        <v>0.1483125837</v>
      </c>
      <c r="T30" s="24">
        <f>0.25*'Standardized Data'!T30</f>
        <v>0.06631648033</v>
      </c>
      <c r="U30" s="24">
        <f>0.25*'Standardized Data'!U30</f>
        <v>0.09263880289</v>
      </c>
      <c r="V30" s="24"/>
      <c r="W30" s="24"/>
      <c r="X30" s="24"/>
      <c r="Y30" s="24"/>
      <c r="Z30" s="24"/>
      <c r="AA30" s="24"/>
      <c r="AB30" s="24"/>
    </row>
    <row r="31">
      <c r="A31" s="24" t="s">
        <v>78</v>
      </c>
      <c r="B31" s="25">
        <v>44599.0</v>
      </c>
      <c r="C31" s="24">
        <f>0.5*'Standardized Data'!C31</f>
        <v>0.2738345148</v>
      </c>
      <c r="D31" s="24">
        <f>0.5*'Standardized Data'!D31</f>
        <v>0.2</v>
      </c>
      <c r="E31" s="24">
        <f>4*'Standardized Data'!E31</f>
        <v>1.3</v>
      </c>
      <c r="F31" s="24">
        <f>4*'Standardized Data'!F31</f>
        <v>3.483872</v>
      </c>
      <c r="G31" s="24">
        <f>2*'Standardized Data'!G31</f>
        <v>1.216</v>
      </c>
      <c r="H31" s="24">
        <f>2*'Standardized Data'!H31</f>
        <v>0.8594047851</v>
      </c>
      <c r="I31" s="24">
        <f>1*'Standardized Data'!I31</f>
        <v>0.7600924396</v>
      </c>
      <c r="J31" s="24">
        <f>1*'Standardized Data'!J31</f>
        <v>0.5210261623</v>
      </c>
      <c r="K31" s="24">
        <f>0.25*'Standardized Data'!K31</f>
        <v>0.170920468</v>
      </c>
      <c r="L31" s="24">
        <f>0.25*'Standardized Data'!L31</f>
        <v>0.08458218248</v>
      </c>
      <c r="M31" s="24">
        <f>0.25*'Standardized Data'!M31</f>
        <v>0.2065922618</v>
      </c>
      <c r="N31" s="24">
        <f>0.25*'Standardized Data'!N31</f>
        <v>0.2242542642</v>
      </c>
      <c r="O31" s="24">
        <f>1*'Standardized Data'!O31</f>
        <v>0.4053707281</v>
      </c>
      <c r="P31" s="24">
        <f>1*'Standardized Data'!P31</f>
        <v>0.6486162278</v>
      </c>
      <c r="Q31" s="24">
        <f>1*'Standardized Data'!Q31</f>
        <v>0.5133940915</v>
      </c>
      <c r="R31" s="24">
        <f>1*'Standardized Data'!R31</f>
        <v>0.6532198777</v>
      </c>
      <c r="S31" s="24">
        <f>0.25*'Standardized Data'!S31</f>
        <v>0.1431420025</v>
      </c>
      <c r="T31" s="24">
        <f>0.25*'Standardized Data'!T31</f>
        <v>0.04454198435</v>
      </c>
      <c r="U31" s="24">
        <f>0.25*'Standardized Data'!U31</f>
        <v>0.09263880289</v>
      </c>
      <c r="V31" s="24"/>
      <c r="W31" s="24"/>
      <c r="X31" s="24"/>
      <c r="Y31" s="24"/>
      <c r="Z31" s="24"/>
      <c r="AA31" s="24"/>
      <c r="AB31" s="24"/>
    </row>
    <row r="32">
      <c r="A32" s="24" t="s">
        <v>79</v>
      </c>
      <c r="B32" s="25">
        <v>49520.0</v>
      </c>
      <c r="C32" s="24">
        <f>0.5*'Standardized Data'!C32</f>
        <v>0.1843234141</v>
      </c>
      <c r="D32" s="24">
        <f>0.5*'Standardized Data'!D32</f>
        <v>0.5</v>
      </c>
      <c r="E32" s="24">
        <f>4*'Standardized Data'!E32</f>
        <v>2.532</v>
      </c>
      <c r="F32" s="24">
        <f>4*'Standardized Data'!F32</f>
        <v>2.838708</v>
      </c>
      <c r="G32" s="24">
        <f>2*'Standardized Data'!G32</f>
        <v>0.726</v>
      </c>
      <c r="H32" s="24">
        <f>2*'Standardized Data'!H32</f>
        <v>1.056205808</v>
      </c>
      <c r="I32" s="24">
        <f>1*'Standardized Data'!I32</f>
        <v>0.2544487646</v>
      </c>
      <c r="J32" s="24">
        <f>1*'Standardized Data'!J32</f>
        <v>0.2766948985</v>
      </c>
      <c r="K32" s="24">
        <f>0.25*'Standardized Data'!K32</f>
        <v>0.0963544294</v>
      </c>
      <c r="L32" s="24">
        <f>0.25*'Standardized Data'!L32</f>
        <v>0.1012797002</v>
      </c>
      <c r="M32" s="24">
        <f>0.25*'Standardized Data'!M32</f>
        <v>0.2455525853</v>
      </c>
      <c r="N32" s="24">
        <f>0.25*'Standardized Data'!N32</f>
        <v>0.1157300845</v>
      </c>
      <c r="O32" s="24">
        <f>1*'Standardized Data'!O32</f>
        <v>0.44016491</v>
      </c>
      <c r="P32" s="24">
        <f>1*'Standardized Data'!P32</f>
        <v>0.7663366719</v>
      </c>
      <c r="Q32" s="24">
        <f>1*'Standardized Data'!Q32</f>
        <v>0.492037919</v>
      </c>
      <c r="R32" s="24">
        <f>1*'Standardized Data'!R32</f>
        <v>0.6632418271</v>
      </c>
      <c r="S32" s="24">
        <f>0.25*'Standardized Data'!S32</f>
        <v>0.2060455907</v>
      </c>
      <c r="T32" s="24">
        <f>0.25*'Standardized Data'!T32</f>
        <v>0.06450949577</v>
      </c>
      <c r="U32" s="24">
        <f>0.25*'Standardized Data'!U32</f>
        <v>0.09063186168</v>
      </c>
      <c r="V32" s="24"/>
      <c r="W32" s="24"/>
      <c r="X32" s="24"/>
      <c r="Y32" s="24"/>
      <c r="Z32" s="24"/>
      <c r="AA32" s="24"/>
      <c r="AB32" s="24"/>
    </row>
    <row r="33">
      <c r="A33" s="24" t="s">
        <v>80</v>
      </c>
      <c r="B33" s="25">
        <v>336892.0</v>
      </c>
      <c r="C33" s="24">
        <f>0.5*'Standardized Data'!C33</f>
        <v>0.4437152662</v>
      </c>
      <c r="D33" s="24">
        <f>0.5*'Standardized Data'!D33</f>
        <v>0.2</v>
      </c>
      <c r="E33" s="24">
        <f>4*'Standardized Data'!E33</f>
        <v>2.756</v>
      </c>
      <c r="F33" s="24">
        <f>4*'Standardized Data'!F33</f>
        <v>0</v>
      </c>
      <c r="G33" s="24">
        <f>2*'Standardized Data'!G33</f>
        <v>1.158</v>
      </c>
      <c r="H33" s="24">
        <f>2*'Standardized Data'!H33</f>
        <v>1.312551154</v>
      </c>
      <c r="I33" s="24">
        <f>1*'Standardized Data'!I33</f>
        <v>0.7600924396</v>
      </c>
      <c r="J33" s="24">
        <f>1*'Standardized Data'!J33</f>
        <v>0.9173210005</v>
      </c>
      <c r="K33" s="24">
        <f>0.25*'Standardized Data'!K33</f>
        <v>0.1595669631</v>
      </c>
      <c r="L33" s="24">
        <f>0.25*'Standardized Data'!L33</f>
        <v>0.122855981</v>
      </c>
      <c r="M33" s="24">
        <f>0.25*'Standardized Data'!M33</f>
        <v>0.1577027288</v>
      </c>
      <c r="N33" s="24">
        <f>0.25*'Standardized Data'!N33</f>
        <v>0.1834328999</v>
      </c>
      <c r="O33" s="24">
        <f>1*'Standardized Data'!O33</f>
        <v>0.4053707281</v>
      </c>
      <c r="P33" s="24">
        <f>1*'Standardized Data'!P33</f>
        <v>0.5121226809</v>
      </c>
      <c r="Q33" s="24">
        <f>1*'Standardized Data'!Q33</f>
        <v>0.3204464405</v>
      </c>
      <c r="R33" s="24">
        <f>1*'Standardized Data'!R33</f>
        <v>0.9083522245</v>
      </c>
      <c r="S33" s="24">
        <f>0.25*'Standardized Data'!S33</f>
        <v>0.1204641459</v>
      </c>
      <c r="T33" s="24">
        <f>0.25*'Standardized Data'!T33</f>
        <v>0.06069339644</v>
      </c>
      <c r="U33" s="24">
        <f>0.25*'Standardized Data'!U33</f>
        <v>0.1188964847</v>
      </c>
      <c r="V33" s="24"/>
      <c r="W33" s="24"/>
      <c r="X33" s="24"/>
      <c r="Y33" s="24"/>
      <c r="Z33" s="24"/>
      <c r="AA33" s="24"/>
      <c r="AB33" s="24"/>
    </row>
    <row r="34">
      <c r="A34" s="24" t="s">
        <v>82</v>
      </c>
      <c r="B34" s="25">
        <v>48832.0</v>
      </c>
      <c r="C34" s="24">
        <f>0.5*'Standardized Data'!C34</f>
        <v>0.2229086131</v>
      </c>
      <c r="D34" s="24">
        <f>0.5*'Standardized Data'!D34</f>
        <v>0.3</v>
      </c>
      <c r="E34" s="24">
        <f>4*'Standardized Data'!E34</f>
        <v>2.236</v>
      </c>
      <c r="F34" s="24">
        <f>4*'Standardized Data'!F34</f>
        <v>1.161292</v>
      </c>
      <c r="G34" s="24">
        <f>2*'Standardized Data'!G34</f>
        <v>0.262</v>
      </c>
      <c r="H34" s="24">
        <f>2*'Standardized Data'!H34</f>
        <v>0.2598844013</v>
      </c>
      <c r="I34" s="24">
        <f>1*'Standardized Data'!I34</f>
        <v>0.4034213796</v>
      </c>
      <c r="J34" s="24">
        <f>1*'Standardized Data'!J34</f>
        <v>0.2498700253</v>
      </c>
      <c r="K34" s="24">
        <f>0.25*'Standardized Data'!K34</f>
        <v>0.08822973857</v>
      </c>
      <c r="L34" s="24">
        <f>0.25*'Standardized Data'!L34</f>
        <v>0.06184936714</v>
      </c>
      <c r="M34" s="24">
        <f>0.25*'Standardized Data'!M34</f>
        <v>0.2276673406</v>
      </c>
      <c r="N34" s="24">
        <f>0.25*'Standardized Data'!N34</f>
        <v>0.1561616204</v>
      </c>
      <c r="O34" s="24">
        <f>1*'Standardized Data'!O34</f>
        <v>1</v>
      </c>
      <c r="P34" s="24">
        <f>1*'Standardized Data'!P34</f>
        <v>0.6844953438</v>
      </c>
      <c r="Q34" s="24">
        <f>1*'Standardized Data'!Q34</f>
        <v>0.3020604256</v>
      </c>
      <c r="R34" s="24">
        <f>1*'Standardized Data'!R34</f>
        <v>0.5084568138</v>
      </c>
      <c r="S34" s="24">
        <f>0.25*'Standardized Data'!S34</f>
        <v>0.2182750179</v>
      </c>
      <c r="T34" s="24">
        <f>0.25*'Standardized Data'!T34</f>
        <v>0.05438013992</v>
      </c>
      <c r="U34" s="24">
        <f>0.25*'Standardized Data'!U34</f>
        <v>0.07998025065</v>
      </c>
      <c r="V34" s="24"/>
      <c r="W34" s="24"/>
      <c r="X34" s="24"/>
      <c r="Y34" s="24"/>
      <c r="Z34" s="24"/>
      <c r="AA34" s="24"/>
      <c r="AB34" s="24"/>
    </row>
    <row r="35">
      <c r="A35" s="24" t="s">
        <v>84</v>
      </c>
      <c r="B35" s="25">
        <v>392921.0</v>
      </c>
      <c r="C35" s="24">
        <f>0.5*'Standardized Data'!C35</f>
        <v>0.4255852379</v>
      </c>
      <c r="D35" s="24">
        <f>0.5*'Standardized Data'!D35</f>
        <v>0.2</v>
      </c>
      <c r="E35" s="24">
        <f>4*'Standardized Data'!E35</f>
        <v>2.488</v>
      </c>
      <c r="F35" s="24">
        <f>4*'Standardized Data'!F35</f>
        <v>1.548388</v>
      </c>
      <c r="G35" s="24">
        <f>2*'Standardized Data'!G35</f>
        <v>1.106</v>
      </c>
      <c r="H35" s="24">
        <f>2*'Standardized Data'!H35</f>
        <v>0.9764895936</v>
      </c>
      <c r="I35" s="24">
        <f>1*'Standardized Data'!I35</f>
        <v>0.7161988555</v>
      </c>
      <c r="J35" s="24">
        <f>1*'Standardized Data'!J35</f>
        <v>0.7043657088</v>
      </c>
      <c r="K35" s="24">
        <f>0.25*'Standardized Data'!K35</f>
        <v>0.174492453</v>
      </c>
      <c r="L35" s="24">
        <f>0.25*'Standardized Data'!L35</f>
        <v>0.09628757457</v>
      </c>
      <c r="M35" s="24">
        <f>0.25*'Standardized Data'!M35</f>
        <v>0.1804143915</v>
      </c>
      <c r="N35" s="24">
        <f>0.25*'Standardized Data'!N35</f>
        <v>0.2164985129</v>
      </c>
      <c r="O35" s="24">
        <f>1*'Standardized Data'!O35</f>
        <v>0.4741205957</v>
      </c>
      <c r="P35" s="24">
        <f>1*'Standardized Data'!P35</f>
        <v>0.2082492892</v>
      </c>
      <c r="Q35" s="24">
        <f>1*'Standardized Data'!Q35</f>
        <v>0.2518061109</v>
      </c>
      <c r="R35" s="24">
        <f>1*'Standardized Data'!R35</f>
        <v>0.8375877064</v>
      </c>
      <c r="S35" s="24">
        <f>0.25*'Standardized Data'!S35</f>
        <v>0.1121732371</v>
      </c>
      <c r="T35" s="24">
        <f>0.25*'Standardized Data'!T35</f>
        <v>0.06806219924</v>
      </c>
      <c r="U35" s="24">
        <f>0.25*'Standardized Data'!U35</f>
        <v>0.1003048178</v>
      </c>
      <c r="V35" s="24"/>
      <c r="W35" s="24"/>
      <c r="X35" s="24"/>
      <c r="Y35" s="24"/>
      <c r="Z35" s="24"/>
      <c r="AA35" s="24"/>
      <c r="AB35" s="24"/>
    </row>
    <row r="36">
      <c r="A36" s="24" t="s">
        <v>85</v>
      </c>
      <c r="B36" s="25">
        <v>77001.0</v>
      </c>
      <c r="C36" s="24">
        <f>0.5*'Standardized Data'!C36</f>
        <v>0.2721423824</v>
      </c>
      <c r="D36" s="24">
        <f>0.5*'Standardized Data'!D36</f>
        <v>0.1</v>
      </c>
      <c r="E36" s="24">
        <f>4*'Standardized Data'!E36</f>
        <v>2.22</v>
      </c>
      <c r="F36" s="24">
        <f>4*'Standardized Data'!F36</f>
        <v>2.451612</v>
      </c>
      <c r="G36" s="24">
        <f>2*'Standardized Data'!G36</f>
        <v>0.408</v>
      </c>
      <c r="H36" s="24">
        <f>2*'Standardized Data'!H36</f>
        <v>1.206888471</v>
      </c>
      <c r="I36" s="24">
        <f>1*'Standardized Data'!I36</f>
        <v>0.5934470475</v>
      </c>
      <c r="J36" s="24">
        <f>1*'Standardized Data'!J36</f>
        <v>0.4672420213</v>
      </c>
      <c r="K36" s="24">
        <f>0.25*'Standardized Data'!K36</f>
        <v>0.14639007</v>
      </c>
      <c r="L36" s="24">
        <f>0.25*'Standardized Data'!L36</f>
        <v>0.08305578212</v>
      </c>
      <c r="M36" s="24">
        <f>0.25*'Standardized Data'!M36</f>
        <v>0.2182397262</v>
      </c>
      <c r="N36" s="24">
        <f>0.25*'Standardized Data'!N36</f>
        <v>0.1834328999</v>
      </c>
      <c r="O36" s="24">
        <f>1*'Standardized Data'!O36</f>
        <v>0.2955156838</v>
      </c>
      <c r="P36" s="24">
        <f>1*'Standardized Data'!P36</f>
        <v>0.6625800936</v>
      </c>
      <c r="Q36" s="24">
        <f>1*'Standardized Data'!Q36</f>
        <v>0.8252626304</v>
      </c>
      <c r="R36" s="24">
        <f>1*'Standardized Data'!R36</f>
        <v>0.5084568138</v>
      </c>
      <c r="S36" s="24">
        <f>0.25*'Standardized Data'!S36</f>
        <v>0.1969333905</v>
      </c>
      <c r="T36" s="24">
        <f>0.25*'Standardized Data'!T36</f>
        <v>0.05209115082</v>
      </c>
      <c r="U36" s="24">
        <f>0.25*'Standardized Data'!U36</f>
        <v>0.09063186168</v>
      </c>
      <c r="V36" s="24"/>
      <c r="W36" s="24"/>
      <c r="X36" s="24"/>
      <c r="Y36" s="24"/>
      <c r="Z36" s="24"/>
      <c r="AA36" s="24"/>
      <c r="AB36" s="24"/>
    </row>
    <row r="37">
      <c r="A37" s="24" t="s">
        <v>87</v>
      </c>
      <c r="B37" s="25">
        <v>237242.0</v>
      </c>
      <c r="C37" s="24">
        <f>0.5*'Standardized Data'!C37</f>
        <v>0.3957781494</v>
      </c>
      <c r="D37" s="24">
        <f>0.5*'Standardized Data'!D37</f>
        <v>0.1</v>
      </c>
      <c r="E37" s="24">
        <f>4*'Standardized Data'!E37</f>
        <v>2.024</v>
      </c>
      <c r="F37" s="24">
        <f>4*'Standardized Data'!F37</f>
        <v>2.838708</v>
      </c>
      <c r="G37" s="24">
        <f>2*'Standardized Data'!G37</f>
        <v>0.56</v>
      </c>
      <c r="H37" s="24">
        <f>2*'Standardized Data'!H37</f>
        <v>0.9453567477</v>
      </c>
      <c r="I37" s="24">
        <f>1*'Standardized Data'!I37</f>
        <v>0.6159929608</v>
      </c>
      <c r="J37" s="24">
        <f>1*'Standardized Data'!J37</f>
        <v>0.5036528004</v>
      </c>
      <c r="K37" s="24">
        <f>0.25*'Standardized Data'!K37</f>
        <v>0.1922136318</v>
      </c>
      <c r="L37" s="24">
        <f>0.25*'Standardized Data'!L37</f>
        <v>0.1121369002</v>
      </c>
      <c r="M37" s="24">
        <f>0.25*'Standardized Data'!M37</f>
        <v>0.1839833489</v>
      </c>
      <c r="N37" s="24">
        <f>0.25*'Standardized Data'!N37</f>
        <v>0.2280623341</v>
      </c>
      <c r="O37" s="24">
        <f>1*'Standardized Data'!O37</f>
        <v>0.44016491</v>
      </c>
      <c r="P37" s="24">
        <f>1*'Standardized Data'!P37</f>
        <v>0.3890047353</v>
      </c>
      <c r="Q37" s="24">
        <f>1*'Standardized Data'!Q37</f>
        <v>0.5027570752</v>
      </c>
      <c r="R37" s="24">
        <f>1*'Standardized Data'!R37</f>
        <v>0.8040257578</v>
      </c>
      <c r="S37" s="24">
        <f>0.25*'Standardized Data'!S37</f>
        <v>0.1781236251</v>
      </c>
      <c r="T37" s="24">
        <f>0.25*'Standardized Data'!T37</f>
        <v>0.0745073221</v>
      </c>
      <c r="U37" s="24">
        <f>0.25*'Standardized Data'!U37</f>
        <v>0.1039383237</v>
      </c>
      <c r="V37" s="24"/>
      <c r="W37" s="24"/>
      <c r="X37" s="24"/>
      <c r="Y37" s="24"/>
      <c r="Z37" s="24"/>
      <c r="AA37" s="24"/>
      <c r="AB37" s="24"/>
    </row>
    <row r="38">
      <c r="A38" s="24" t="s">
        <v>88</v>
      </c>
      <c r="B38" s="25">
        <v>10343.0</v>
      </c>
      <c r="C38" s="24">
        <f>0.5*'Standardized Data'!C38</f>
        <v>0.1217407362</v>
      </c>
      <c r="D38" s="24">
        <f>0.5*'Standardized Data'!D38</f>
        <v>0.1</v>
      </c>
      <c r="E38" s="24">
        <f>4*'Standardized Data'!E38</f>
        <v>2.02</v>
      </c>
      <c r="F38" s="24">
        <f>4*'Standardized Data'!F38</f>
        <v>2.580644</v>
      </c>
      <c r="G38" s="24">
        <f>2*'Standardized Data'!G38</f>
        <v>0.572</v>
      </c>
      <c r="H38" s="24">
        <f>2*'Standardized Data'!H38</f>
        <v>0.8104748119</v>
      </c>
      <c r="I38" s="24">
        <f>1*'Standardized Data'!I38</f>
        <v>0.6996379847</v>
      </c>
      <c r="J38" s="24">
        <f>1*'Standardized Data'!J38</f>
        <v>0</v>
      </c>
      <c r="K38" s="24">
        <f>0.25*'Standardized Data'!K38</f>
        <v>0.06734885593</v>
      </c>
      <c r="L38" s="24">
        <f>0.25*'Standardized Data'!L38</f>
        <v>0.1001928649</v>
      </c>
      <c r="M38" s="24">
        <f>0.25*'Standardized Data'!M38</f>
        <v>0.2052741561</v>
      </c>
      <c r="N38" s="24">
        <f>0.25*'Standardized Data'!N38</f>
        <v>0.1263300673</v>
      </c>
      <c r="O38" s="24">
        <f>1*'Standardized Data'!O38</f>
        <v>0.4053707281</v>
      </c>
      <c r="P38" s="24">
        <f>1*'Standardized Data'!P38</f>
        <v>0.882654756</v>
      </c>
      <c r="Q38" s="24">
        <f>1*'Standardized Data'!Q38</f>
        <v>0.9962634598</v>
      </c>
      <c r="R38" s="24">
        <f>1*'Standardized Data'!R38</f>
        <v>0.7674362826</v>
      </c>
      <c r="S38" s="24">
        <f>0.25*'Standardized Data'!S38</f>
        <v>0.1888027017</v>
      </c>
      <c r="T38" s="24">
        <f>0.25*'Standardized Data'!T38</f>
        <v>0.06069339644</v>
      </c>
      <c r="U38" s="24">
        <f>0.25*'Standardized Data'!U38</f>
        <v>0.09460822898</v>
      </c>
      <c r="V38" s="24"/>
      <c r="W38" s="24"/>
      <c r="X38" s="24"/>
      <c r="Y38" s="24"/>
      <c r="Z38" s="24"/>
      <c r="AA38" s="24"/>
      <c r="AB38" s="24"/>
    </row>
    <row r="39">
      <c r="A39" s="24" t="s">
        <v>89</v>
      </c>
      <c r="B39" s="25">
        <v>8052.0</v>
      </c>
      <c r="C39" s="24">
        <f>0.5*'Standardized Data'!C39</f>
        <v>0.1135553516</v>
      </c>
      <c r="D39" s="24">
        <f>0.5*'Standardized Data'!D39</f>
        <v>0.5</v>
      </c>
      <c r="E39" s="24">
        <f>4*'Standardized Data'!E39</f>
        <v>1.032</v>
      </c>
      <c r="F39" s="24">
        <f>4*'Standardized Data'!F39</f>
        <v>4</v>
      </c>
      <c r="G39" s="24">
        <f>2*'Standardized Data'!G39</f>
        <v>0.222</v>
      </c>
      <c r="H39" s="24">
        <f>2*'Standardized Data'!H39</f>
        <v>1.474971146</v>
      </c>
      <c r="I39" s="24">
        <f>1*'Standardized Data'!I39</f>
        <v>0.4268467467</v>
      </c>
      <c r="J39" s="24">
        <f>1*'Standardized Data'!J39</f>
        <v>0.2532925851</v>
      </c>
      <c r="K39" s="24">
        <f>0.25*'Standardized Data'!K39</f>
        <v>0.2422878139</v>
      </c>
      <c r="L39" s="24">
        <f>0.25*'Standardized Data'!L39</f>
        <v>0.1169099398</v>
      </c>
      <c r="M39" s="24">
        <f>0.25*'Standardized Data'!M39</f>
        <v>0.09490786536</v>
      </c>
      <c r="N39" s="24">
        <f>0.25*'Standardized Data'!N39</f>
        <v>0.1157300845</v>
      </c>
      <c r="O39" s="24">
        <f>1*'Standardized Data'!O39</f>
        <v>0.1763664797</v>
      </c>
      <c r="P39" s="24">
        <f>1*'Standardized Data'!P39</f>
        <v>0.8817342529</v>
      </c>
      <c r="Q39" s="24">
        <f>1*'Standardized Data'!Q39</f>
        <v>0.6874476562</v>
      </c>
      <c r="R39" s="24">
        <f>1*'Standardized Data'!R39</f>
        <v>0.6104573811</v>
      </c>
      <c r="S39" s="24">
        <f>0.25*'Standardized Data'!S39</f>
        <v>0.1405337879</v>
      </c>
      <c r="T39" s="24">
        <f>0.25*'Standardized Data'!T39</f>
        <v>0.09736702563</v>
      </c>
      <c r="U39" s="24">
        <f>0.25*'Standardized Data'!U39</f>
        <v>0.1398984442</v>
      </c>
      <c r="V39" s="24"/>
      <c r="W39" s="24"/>
      <c r="X39" s="24"/>
      <c r="Y39" s="24"/>
      <c r="Z39" s="24"/>
      <c r="AA39" s="24"/>
      <c r="AB39" s="24"/>
    </row>
    <row r="40">
      <c r="A40" s="24" t="s">
        <v>91</v>
      </c>
      <c r="B40" s="25">
        <v>62192.0</v>
      </c>
      <c r="C40" s="24">
        <f>0.5*'Standardized Data'!C40</f>
        <v>0.24085111</v>
      </c>
      <c r="D40" s="24">
        <f>0.5*'Standardized Data'!D40</f>
        <v>0.5</v>
      </c>
      <c r="E40" s="24">
        <f>4*'Standardized Data'!E40</f>
        <v>2.38</v>
      </c>
      <c r="F40" s="24">
        <f>4*'Standardized Data'!F40</f>
        <v>2.258064</v>
      </c>
      <c r="G40" s="24">
        <f>2*'Standardized Data'!G40</f>
        <v>0.418</v>
      </c>
      <c r="H40" s="24">
        <f>2*'Standardized Data'!H40</f>
        <v>1.026916318</v>
      </c>
      <c r="I40" s="24">
        <f>1*'Standardized Data'!I40</f>
        <v>0.5309114899</v>
      </c>
      <c r="J40" s="24">
        <f>1*'Standardized Data'!J40</f>
        <v>0.4577661515</v>
      </c>
      <c r="K40" s="24">
        <f>0.25*'Standardized Data'!K40</f>
        <v>0.1579039814</v>
      </c>
      <c r="L40" s="24">
        <f>0.25*'Standardized Data'!L40</f>
        <v>0.09850615046</v>
      </c>
      <c r="M40" s="24">
        <f>0.25*'Standardized Data'!M40</f>
        <v>0.2164758099</v>
      </c>
      <c r="N40" s="24">
        <f>0.25*'Standardized Data'!N40</f>
        <v>0.1834328999</v>
      </c>
      <c r="O40" s="24">
        <f>1*'Standardized Data'!O40</f>
        <v>0.4053707281</v>
      </c>
      <c r="P40" s="24">
        <f>1*'Standardized Data'!P40</f>
        <v>0.7321523081</v>
      </c>
      <c r="Q40" s="24">
        <f>1*'Standardized Data'!Q40</f>
        <v>0.6301973225</v>
      </c>
      <c r="R40" s="24">
        <f>1*'Standardized Data'!R40</f>
        <v>0.6324015539</v>
      </c>
      <c r="S40" s="24">
        <f>0.25*'Standardized Data'!S40</f>
        <v>0.1923056631</v>
      </c>
      <c r="T40" s="24">
        <f>0.25*'Standardized Data'!T40</f>
        <v>0.05867377382</v>
      </c>
      <c r="U40" s="24">
        <f>0.25*'Standardized Data'!U40</f>
        <v>0.06812943219</v>
      </c>
      <c r="V40" s="24"/>
      <c r="W40" s="24"/>
      <c r="X40" s="24"/>
      <c r="Y40" s="24"/>
      <c r="Z40" s="24"/>
      <c r="AA40" s="24"/>
      <c r="AB40" s="24"/>
    </row>
    <row r="41">
      <c r="A41" s="24" t="s">
        <v>92</v>
      </c>
      <c r="B41" s="25">
        <v>20530.0</v>
      </c>
      <c r="C41" s="24">
        <f>0.5*'Standardized Data'!C41</f>
        <v>0.2018231489</v>
      </c>
      <c r="D41" s="24">
        <f>0.5*'Standardized Data'!D41</f>
        <v>0.5</v>
      </c>
      <c r="E41" s="24">
        <f>4*'Standardized Data'!E41</f>
        <v>2.528</v>
      </c>
      <c r="F41" s="24">
        <f>4*'Standardized Data'!F41</f>
        <v>2.516128</v>
      </c>
      <c r="G41" s="24">
        <f>2*'Standardized Data'!G41</f>
        <v>0</v>
      </c>
      <c r="H41" s="24">
        <f>2*'Standardized Data'!H41</f>
        <v>0.4985538285</v>
      </c>
      <c r="I41" s="24">
        <f>1*'Standardized Data'!I41</f>
        <v>0</v>
      </c>
      <c r="J41" s="24">
        <f>1*'Standardized Data'!J41</f>
        <v>0.06987663736</v>
      </c>
      <c r="K41" s="24">
        <f>0.25*'Standardized Data'!K41</f>
        <v>0.08762762463</v>
      </c>
      <c r="L41" s="24">
        <f>0.25*'Standardized Data'!L41</f>
        <v>0.03349753016</v>
      </c>
      <c r="M41" s="24">
        <f>0.25*'Standardized Data'!M41</f>
        <v>0.2150560372</v>
      </c>
      <c r="N41" s="24">
        <f>0.25*'Standardized Data'!N41</f>
        <v>0.1415955605</v>
      </c>
      <c r="O41" s="24">
        <f>1*'Standardized Data'!O41</f>
        <v>0.2569079874</v>
      </c>
      <c r="P41" s="24">
        <f>1*'Standardized Data'!P41</f>
        <v>0.8079975118</v>
      </c>
      <c r="Q41" s="24">
        <f>1*'Standardized Data'!Q41</f>
        <v>0.5291983287</v>
      </c>
      <c r="R41" s="24">
        <f>1*'Standardized Data'!R41</f>
        <v>0.6324015539</v>
      </c>
      <c r="S41" s="24">
        <f>0.25*'Standardized Data'!S41</f>
        <v>0.2280345381</v>
      </c>
      <c r="T41" s="24">
        <f>0.25*'Standardized Data'!T41</f>
        <v>0.05867377382</v>
      </c>
      <c r="U41" s="24">
        <f>0.25*'Standardized Data'!U41</f>
        <v>0</v>
      </c>
      <c r="V41" s="24"/>
      <c r="W41" s="24"/>
      <c r="X41" s="24"/>
      <c r="Y41" s="24"/>
      <c r="Z41" s="24"/>
      <c r="AA41" s="24"/>
      <c r="AB41" s="24"/>
    </row>
    <row r="42">
      <c r="A42" s="27" t="s">
        <v>94</v>
      </c>
      <c r="B42" s="28">
        <f>549866-250000</f>
        <v>299866</v>
      </c>
      <c r="C42" s="24">
        <f>0.5*'Standardized Data'!C42</f>
        <v>0.4152755224</v>
      </c>
      <c r="D42" s="24">
        <f>0.5*'Standardized Data'!D42</f>
        <v>0.2</v>
      </c>
      <c r="E42" s="24">
        <f>4*'Standardized Data'!E42</f>
        <v>2.616</v>
      </c>
      <c r="F42" s="24">
        <f>4*'Standardized Data'!F42</f>
        <v>1.225808</v>
      </c>
      <c r="G42" s="24">
        <f>2*'Standardized Data'!G42</f>
        <v>0.948</v>
      </c>
      <c r="H42" s="24">
        <f>2*'Standardized Data'!H42</f>
        <v>0.9805970477</v>
      </c>
      <c r="I42" s="24">
        <f>1*'Standardized Data'!I42</f>
        <v>0.7381942563</v>
      </c>
      <c r="J42" s="24">
        <f>1*'Standardized Data'!J42</f>
        <v>0.7227121407</v>
      </c>
      <c r="K42" s="24">
        <f>0.25*'Standardized Data'!K42</f>
        <v>0.1705040845</v>
      </c>
      <c r="L42" s="24">
        <f>0.25*'Standardized Data'!L42</f>
        <v>0.1229256803</v>
      </c>
      <c r="M42" s="24">
        <f>0.25*'Standardized Data'!M42</f>
        <v>0.2141049976</v>
      </c>
      <c r="N42" s="24">
        <f>0.25*'Standardized Data'!N42</f>
        <v>0.1415955605</v>
      </c>
      <c r="O42" s="24">
        <f>1*'Standardized Data'!O42</f>
        <v>0.6326125088</v>
      </c>
      <c r="P42" s="24">
        <f>1*'Standardized Data'!P42</f>
        <v>0.08796768821</v>
      </c>
      <c r="Q42" s="24">
        <f>1*'Standardized Data'!Q42</f>
        <v>0.245394442</v>
      </c>
      <c r="R42" s="24">
        <f>1*'Standardized Data'!R42</f>
        <v>0.9294410369</v>
      </c>
      <c r="S42" s="24">
        <f>0.25*'Standardized Data'!S42</f>
        <v>0.1272560675</v>
      </c>
      <c r="T42" s="24">
        <f>0.25*'Standardized Data'!T42</f>
        <v>0.06263678844</v>
      </c>
      <c r="U42" s="24">
        <f>0.25*'Standardized Data'!U42</f>
        <v>0.09843996863</v>
      </c>
      <c r="V42" s="24"/>
      <c r="W42" s="24"/>
      <c r="X42" s="24"/>
      <c r="Y42" s="24"/>
      <c r="Z42" s="24"/>
      <c r="AA42" s="24"/>
      <c r="AB42" s="24"/>
    </row>
    <row r="43">
      <c r="A43" s="27" t="s">
        <v>95</v>
      </c>
      <c r="B43" s="28">
        <v>250000.0</v>
      </c>
      <c r="C43" s="24">
        <f>0.5*'Standardized Data'!C43</f>
        <v>0.4152755224</v>
      </c>
      <c r="D43" s="24">
        <f>0.5*'Standardized Data'!D43</f>
        <v>0.2</v>
      </c>
      <c r="E43" s="24">
        <f>4*'Standardized Data'!E43</f>
        <v>2.616</v>
      </c>
      <c r="F43" s="24">
        <f>4*'Standardized Data'!F43</f>
        <v>1.225808</v>
      </c>
      <c r="G43" s="24">
        <f>2*'Standardized Data'!G43</f>
        <v>0.948</v>
      </c>
      <c r="H43" s="24">
        <f>2*'Standardized Data'!H43</f>
        <v>0.9805970477</v>
      </c>
      <c r="I43" s="24">
        <f>1*'Standardized Data'!I43</f>
        <v>0.7381942563</v>
      </c>
      <c r="J43" s="24">
        <f>1*'Standardized Data'!J43</f>
        <v>0.7227121407</v>
      </c>
      <c r="K43" s="24">
        <f>0.25*'Standardized Data'!K43</f>
        <v>0.1705040845</v>
      </c>
      <c r="L43" s="24">
        <f>0.25*'Standardized Data'!L43</f>
        <v>0.1229256803</v>
      </c>
      <c r="M43" s="24">
        <f>0.25*'Standardized Data'!M43</f>
        <v>0.2141049976</v>
      </c>
      <c r="N43" s="24">
        <f>0.25*'Standardized Data'!N43</f>
        <v>0.1415955605</v>
      </c>
      <c r="O43" s="24">
        <f>1*'Standardized Data'!O43</f>
        <v>0.6326125088</v>
      </c>
      <c r="P43" s="24">
        <f>1*'Standardized Data'!P43</f>
        <v>0.08796768821</v>
      </c>
      <c r="Q43" s="24">
        <f>1*'Standardized Data'!Q43</f>
        <v>0.245394442</v>
      </c>
      <c r="R43" s="24">
        <f>1*'Standardized Data'!R43</f>
        <v>0.9294410369</v>
      </c>
      <c r="S43" s="24">
        <f>0.25*'Standardized Data'!S43</f>
        <v>0.1272560675</v>
      </c>
      <c r="T43" s="24">
        <f>0.25*'Standardized Data'!T43</f>
        <v>0.06263678844</v>
      </c>
      <c r="U43" s="24">
        <f>0.25*'Standardized Data'!U43</f>
        <v>0.09843996863</v>
      </c>
      <c r="V43" s="24"/>
      <c r="W43" s="24"/>
      <c r="X43" s="24"/>
      <c r="Y43" s="24"/>
      <c r="Z43" s="24"/>
      <c r="AA43" s="24"/>
      <c r="AB43" s="24"/>
    </row>
    <row r="44">
      <c r="A44" s="24" t="s">
        <v>96</v>
      </c>
      <c r="B44" s="25">
        <v>47298.0</v>
      </c>
      <c r="C44" s="24">
        <f>0.5*'Standardized Data'!C44</f>
        <v>0.1864194013</v>
      </c>
      <c r="D44" s="24">
        <f>0.5*'Standardized Data'!D44</f>
        <v>0.4</v>
      </c>
      <c r="E44" s="24">
        <f>4*'Standardized Data'!E44</f>
        <v>2.34</v>
      </c>
      <c r="F44" s="24">
        <f>4*'Standardized Data'!F44</f>
        <v>1.290324</v>
      </c>
      <c r="G44" s="24">
        <f>2*'Standardized Data'!G44</f>
        <v>0.326</v>
      </c>
      <c r="H44" s="24">
        <f>2*'Standardized Data'!H44</f>
        <v>0.3105065587</v>
      </c>
      <c r="I44" s="24">
        <f>1*'Standardized Data'!I44</f>
        <v>0.1935824475</v>
      </c>
      <c r="J44" s="24">
        <f>1*'Standardized Data'!J44</f>
        <v>0.2071215021</v>
      </c>
      <c r="K44" s="24">
        <f>0.25*'Standardized Data'!K44</f>
        <v>0.131101348</v>
      </c>
      <c r="L44" s="24">
        <f>0.25*'Standardized Data'!L44</f>
        <v>0.1085559425</v>
      </c>
      <c r="M44" s="24">
        <f>0.25*'Standardized Data'!M44</f>
        <v>0.2351763312</v>
      </c>
      <c r="N44" s="24">
        <f>0.25*'Standardized Data'!N44</f>
        <v>0.1561616204</v>
      </c>
      <c r="O44" s="24">
        <f>1*'Standardized Data'!O44</f>
        <v>1</v>
      </c>
      <c r="P44" s="24">
        <f>1*'Standardized Data'!P44</f>
        <v>0.5811917762</v>
      </c>
      <c r="Q44" s="24">
        <f>1*'Standardized Data'!Q44</f>
        <v>0.425924289</v>
      </c>
      <c r="R44" s="24">
        <f>1*'Standardized Data'!R44</f>
        <v>0.8375877064</v>
      </c>
      <c r="S44" s="24">
        <f>0.25*'Standardized Data'!S44</f>
        <v>0.2291057099</v>
      </c>
      <c r="T44" s="24">
        <f>0.25*'Standardized Data'!T44</f>
        <v>0.06263678844</v>
      </c>
      <c r="U44" s="24">
        <f>0.25*'Standardized Data'!U44</f>
        <v>0.07303083816</v>
      </c>
      <c r="V44" s="24"/>
      <c r="W44" s="24"/>
      <c r="X44" s="24"/>
      <c r="Y44" s="24"/>
      <c r="Z44" s="24"/>
      <c r="AA44" s="24"/>
      <c r="AB44" s="24"/>
    </row>
    <row r="45">
      <c r="A45" s="24" t="s">
        <v>98</v>
      </c>
      <c r="B45" s="25">
        <v>141477.0</v>
      </c>
      <c r="C45" s="24">
        <f>0.5*'Standardized Data'!C45</f>
        <v>0.3060121554</v>
      </c>
      <c r="D45" s="24">
        <f>0.5*'Standardized Data'!D45</f>
        <v>0.4</v>
      </c>
      <c r="E45" s="24">
        <f>4*'Standardized Data'!E45</f>
        <v>2.388</v>
      </c>
      <c r="F45" s="24">
        <f>4*'Standardized Data'!F45</f>
        <v>2.774192</v>
      </c>
      <c r="G45" s="24">
        <f>2*'Standardized Data'!G45</f>
        <v>1.216</v>
      </c>
      <c r="H45" s="24">
        <f>2*'Standardized Data'!H45</f>
        <v>1.52519083</v>
      </c>
      <c r="I45" s="24">
        <f>1*'Standardized Data'!I45</f>
        <v>0.6496206186</v>
      </c>
      <c r="J45" s="24">
        <f>1*'Standardized Data'!J45</f>
        <v>0.4553725068</v>
      </c>
      <c r="K45" s="24">
        <f>0.25*'Standardized Data'!K45</f>
        <v>0.1410779427</v>
      </c>
      <c r="L45" s="24">
        <f>0.25*'Standardized Data'!L45</f>
        <v>0.1053760958</v>
      </c>
      <c r="M45" s="24">
        <f>0.25*'Standardized Data'!M45</f>
        <v>0.2186086776</v>
      </c>
      <c r="N45" s="24">
        <f>0.25*'Standardized Data'!N45</f>
        <v>0.1920272078</v>
      </c>
      <c r="O45" s="24">
        <f>1*'Standardized Data'!O45</f>
        <v>0.5396716133</v>
      </c>
      <c r="P45" s="24">
        <f>1*'Standardized Data'!P45</f>
        <v>0.4478023627</v>
      </c>
      <c r="Q45" s="24">
        <f>1*'Standardized Data'!Q45</f>
        <v>0.6874476562</v>
      </c>
      <c r="R45" s="24">
        <f>1*'Standardized Data'!R45</f>
        <v>0.6324015539</v>
      </c>
      <c r="S45" s="24">
        <f>0.25*'Standardized Data'!S45</f>
        <v>0.210532011</v>
      </c>
      <c r="T45" s="24">
        <f>0.25*'Standardized Data'!T45</f>
        <v>0.0745073221</v>
      </c>
      <c r="U45" s="24">
        <f>0.25*'Standardized Data'!U45</f>
        <v>0.09063186168</v>
      </c>
      <c r="V45" s="24"/>
      <c r="W45" s="24"/>
      <c r="X45" s="24"/>
      <c r="Y45" s="24"/>
      <c r="Z45" s="24"/>
      <c r="AA45" s="24"/>
      <c r="AB45" s="24"/>
    </row>
    <row r="46">
      <c r="A46" s="24" t="s">
        <v>100</v>
      </c>
      <c r="B46" s="25">
        <v>62969.0</v>
      </c>
      <c r="C46" s="24">
        <f>0.5*'Standardized Data'!C46</f>
        <v>0.2401819563</v>
      </c>
      <c r="D46" s="24">
        <f>0.5*'Standardized Data'!D46</f>
        <v>0.4</v>
      </c>
      <c r="E46" s="24">
        <f>4*'Standardized Data'!E46</f>
        <v>0.768</v>
      </c>
      <c r="F46" s="24">
        <f>4*'Standardized Data'!F46</f>
        <v>2.838708</v>
      </c>
      <c r="G46" s="24">
        <f>2*'Standardized Data'!G46</f>
        <v>0.302</v>
      </c>
      <c r="H46" s="24">
        <f>2*'Standardized Data'!H46</f>
        <v>0.9621706455</v>
      </c>
      <c r="I46" s="24">
        <f>1*'Standardized Data'!I46</f>
        <v>0.8090123139</v>
      </c>
      <c r="J46" s="24">
        <f>1*'Standardized Data'!J46</f>
        <v>0.5741074837</v>
      </c>
      <c r="K46" s="24">
        <f>0.25*'Standardized Data'!K46</f>
        <v>0.2496226647</v>
      </c>
      <c r="L46" s="24">
        <f>0.25*'Standardized Data'!L46</f>
        <v>0.05237345819</v>
      </c>
      <c r="M46" s="24">
        <f>0.25*'Standardized Data'!M46</f>
        <v>0.1932489896</v>
      </c>
      <c r="N46" s="24">
        <f>0.25*'Standardized Data'!N46</f>
        <v>0.1102945669</v>
      </c>
      <c r="O46" s="24">
        <f>1*'Standardized Data'!O46</f>
        <v>0.3330937179</v>
      </c>
      <c r="P46" s="24">
        <f>1*'Standardized Data'!P46</f>
        <v>0.5672952174</v>
      </c>
      <c r="Q46" s="24">
        <f>1*'Standardized Data'!Q46</f>
        <v>0.3385921085</v>
      </c>
      <c r="R46" s="24">
        <f>1*'Standardized Data'!R46</f>
        <v>0.8244940441</v>
      </c>
      <c r="S46" s="24">
        <f>0.25*'Standardized Data'!S46</f>
        <v>0.1135659302</v>
      </c>
      <c r="T46" s="24">
        <f>0.25*'Standardized Data'!T46</f>
        <v>0.0713855314</v>
      </c>
      <c r="U46" s="24">
        <f>0.25*'Standardized Data'!U46</f>
        <v>0.1386213227</v>
      </c>
      <c r="V46" s="24"/>
      <c r="W46" s="24"/>
      <c r="X46" s="24"/>
      <c r="Y46" s="24"/>
      <c r="Z46" s="24"/>
      <c r="AA46" s="24"/>
      <c r="AB46" s="24"/>
    </row>
    <row r="47">
      <c r="A47" s="24" t="s">
        <v>101</v>
      </c>
      <c r="B47" s="25">
        <v>119230.0</v>
      </c>
      <c r="C47" s="24">
        <f>0.5*'Standardized Data'!C47</f>
        <v>0.3310496398</v>
      </c>
      <c r="D47" s="24">
        <f>0.5*'Standardized Data'!D47</f>
        <v>0.2</v>
      </c>
      <c r="E47" s="24">
        <f>4*'Standardized Data'!E47</f>
        <v>1.436</v>
      </c>
      <c r="F47" s="24">
        <f>4*'Standardized Data'!F47</f>
        <v>2.516128</v>
      </c>
      <c r="G47" s="24">
        <f>2*'Standardized Data'!G47</f>
        <v>0.67</v>
      </c>
      <c r="H47" s="24">
        <f>2*'Standardized Data'!H47</f>
        <v>1.478068205</v>
      </c>
      <c r="I47" s="24">
        <f>1*'Standardized Data'!I47</f>
        <v>0.7818942609</v>
      </c>
      <c r="J47" s="24">
        <f>1*'Standardized Data'!J47</f>
        <v>0.6756958815</v>
      </c>
      <c r="K47" s="24">
        <f>0.25*'Standardized Data'!K47</f>
        <v>0.2401330637</v>
      </c>
      <c r="L47" s="24">
        <f>0.25*'Standardized Data'!L47</f>
        <v>0.07568110338</v>
      </c>
      <c r="M47" s="24">
        <f>0.25*'Standardized Data'!M47</f>
        <v>0.1802076342</v>
      </c>
      <c r="N47" s="24">
        <f>0.25*'Standardized Data'!N47</f>
        <v>0.1365880548</v>
      </c>
      <c r="O47" s="24">
        <f>1*'Standardized Data'!O47</f>
        <v>0.1763664797</v>
      </c>
      <c r="P47" s="24">
        <f>1*'Standardized Data'!P47</f>
        <v>0.3944017398</v>
      </c>
      <c r="Q47" s="24">
        <f>1*'Standardized Data'!Q47</f>
        <v>0.2194474467</v>
      </c>
      <c r="R47" s="24">
        <f>1*'Standardized Data'!R47</f>
        <v>0.6632418271</v>
      </c>
      <c r="S47" s="24">
        <f>0.25*'Standardized Data'!S47</f>
        <v>0.1392238702</v>
      </c>
      <c r="T47" s="24">
        <f>0.25*'Standardized Data'!T47</f>
        <v>0.06450949577</v>
      </c>
      <c r="U47" s="24">
        <f>0.25*'Standardized Data'!U47</f>
        <v>0.09654151676</v>
      </c>
      <c r="V47" s="24"/>
      <c r="W47" s="24"/>
      <c r="X47" s="24"/>
      <c r="Y47" s="24"/>
      <c r="Z47" s="24"/>
      <c r="AA47" s="24"/>
      <c r="AB47" s="24"/>
    </row>
    <row r="48">
      <c r="A48" s="24" t="s">
        <v>102</v>
      </c>
      <c r="B48" s="25">
        <v>19453.0</v>
      </c>
      <c r="C48" s="24">
        <f>0.5*'Standardized Data'!C48</f>
        <v>0.1690649885</v>
      </c>
      <c r="D48" s="24">
        <f>0.5*'Standardized Data'!D48</f>
        <v>0.5</v>
      </c>
      <c r="E48" s="24">
        <f>4*'Standardized Data'!E48</f>
        <v>2.3</v>
      </c>
      <c r="F48" s="24">
        <f>4*'Standardized Data'!F48</f>
        <v>0.96774</v>
      </c>
      <c r="G48" s="24">
        <f>2*'Standardized Data'!G48</f>
        <v>0.912</v>
      </c>
      <c r="H48" s="24">
        <f>2*'Standardized Data'!H48</f>
        <v>1.445170016</v>
      </c>
      <c r="I48" s="24">
        <f>1*'Standardized Data'!I48</f>
        <v>0.4210007804</v>
      </c>
      <c r="J48" s="24">
        <f>1*'Standardized Data'!J48</f>
        <v>0.2498700253</v>
      </c>
      <c r="K48" s="24">
        <f>0.25*'Standardized Data'!K48</f>
        <v>0.07200322577</v>
      </c>
      <c r="L48" s="24">
        <f>0.25*'Standardized Data'!L48</f>
        <v>0.1093253659</v>
      </c>
      <c r="M48" s="24">
        <f>0.25*'Standardized Data'!M48</f>
        <v>0.2031378766</v>
      </c>
      <c r="N48" s="24">
        <f>0.25*'Standardized Data'!N48</f>
        <v>0.1315004257</v>
      </c>
      <c r="O48" s="24">
        <f>1*'Standardized Data'!O48</f>
        <v>0.6326125088</v>
      </c>
      <c r="P48" s="24">
        <f>1*'Standardized Data'!P48</f>
        <v>0.7264378631</v>
      </c>
      <c r="Q48" s="24">
        <f>1*'Standardized Data'!Q48</f>
        <v>0.5080857721</v>
      </c>
      <c r="R48" s="24">
        <f>1*'Standardized Data'!R48</f>
        <v>0.5226992692</v>
      </c>
      <c r="S48" s="24">
        <f>0.25*'Standardized Data'!S48</f>
        <v>0.2427991189</v>
      </c>
      <c r="T48" s="24">
        <f>0.25*'Standardized Data'!T48</f>
        <v>0.05209115082</v>
      </c>
      <c r="U48" s="24">
        <f>0.25*'Standardized Data'!U48</f>
        <v>0.06559048456</v>
      </c>
      <c r="V48" s="24"/>
      <c r="W48" s="24"/>
      <c r="X48" s="24"/>
      <c r="Y48" s="24"/>
      <c r="Z48" s="24"/>
      <c r="AA48" s="24"/>
      <c r="AB48" s="24"/>
    </row>
    <row r="49">
      <c r="A49" s="24" t="s">
        <v>104</v>
      </c>
      <c r="B49" s="25">
        <v>54446.0</v>
      </c>
      <c r="C49" s="24">
        <f>0.5*'Standardized Data'!C49</f>
        <v>0.2584365433</v>
      </c>
      <c r="D49" s="24">
        <f>0.5*'Standardized Data'!D49</f>
        <v>0.2</v>
      </c>
      <c r="E49" s="24">
        <f>4*'Standardized Data'!E49</f>
        <v>2.908</v>
      </c>
      <c r="F49" s="24">
        <f>4*'Standardized Data'!F49</f>
        <v>1.67742</v>
      </c>
      <c r="G49" s="24">
        <f>2*'Standardized Data'!G49</f>
        <v>0.228</v>
      </c>
      <c r="H49" s="24">
        <f>2*'Standardized Data'!H49</f>
        <v>0</v>
      </c>
      <c r="I49" s="24">
        <f>1*'Standardized Data'!I49</f>
        <v>0.6607793078</v>
      </c>
      <c r="J49" s="24">
        <f>1*'Standardized Data'!J49</f>
        <v>0.3893473921</v>
      </c>
      <c r="K49" s="24">
        <f>0.25*'Standardized Data'!K49</f>
        <v>0.1454868796</v>
      </c>
      <c r="L49" s="24">
        <f>0.25*'Standardized Data'!L49</f>
        <v>0.0665023775</v>
      </c>
      <c r="M49" s="24">
        <f>0.25*'Standardized Data'!M49</f>
        <v>0.1839218678</v>
      </c>
      <c r="N49" s="24">
        <f>0.25*'Standardized Data'!N49</f>
        <v>0.1834328999</v>
      </c>
      <c r="O49" s="24">
        <f>1*'Standardized Data'!O49</f>
        <v>0.691333204</v>
      </c>
      <c r="P49" s="24">
        <f>1*'Standardized Data'!P49</f>
        <v>0.7106176866</v>
      </c>
      <c r="Q49" s="24">
        <f>1*'Standardized Data'!Q49</f>
        <v>0.5806162007</v>
      </c>
      <c r="R49" s="24">
        <f>1*'Standardized Data'!R49</f>
        <v>0.478378735</v>
      </c>
      <c r="S49" s="24">
        <f>0.25*'Standardized Data'!S49</f>
        <v>0.1684089181</v>
      </c>
      <c r="T49" s="24">
        <f>0.25*'Standardized Data'!T49</f>
        <v>0.0388145564</v>
      </c>
      <c r="U49" s="24">
        <f>0.25*'Standardized Data'!U49</f>
        <v>0.08437093712</v>
      </c>
      <c r="V49" s="24"/>
      <c r="W49" s="24"/>
      <c r="X49" s="24"/>
      <c r="Y49" s="24"/>
      <c r="Z49" s="24"/>
      <c r="AA49" s="24"/>
      <c r="AB49" s="24"/>
    </row>
    <row r="50">
      <c r="A50" s="24" t="s">
        <v>106</v>
      </c>
      <c r="B50" s="25">
        <v>4607.0</v>
      </c>
      <c r="C50" s="24">
        <f>0.5*'Standardized Data'!C50</f>
        <v>0</v>
      </c>
      <c r="D50" s="24">
        <f>0.5*'Standardized Data'!D50</f>
        <v>0.5</v>
      </c>
      <c r="E50" s="24">
        <f>4*'Standardized Data'!E50</f>
        <v>2.092</v>
      </c>
      <c r="F50" s="24">
        <f>4*'Standardized Data'!F50</f>
        <v>2.580644</v>
      </c>
      <c r="G50" s="24">
        <f>2*'Standardized Data'!G50</f>
        <v>0.216</v>
      </c>
      <c r="H50" s="24">
        <f>2*'Standardized Data'!H50</f>
        <v>0.9019308003</v>
      </c>
      <c r="I50" s="24">
        <f>1*'Standardized Data'!I50</f>
        <v>0.542340459</v>
      </c>
      <c r="J50" s="24">
        <f>1*'Standardized Data'!J50</f>
        <v>0.1363537781</v>
      </c>
      <c r="K50" s="24">
        <f>0.25*'Standardized Data'!K50</f>
        <v>0.03979474116</v>
      </c>
      <c r="L50" s="24">
        <f>0.25*'Standardized Data'!L50</f>
        <v>0.2396592517</v>
      </c>
      <c r="M50" s="24">
        <f>0.25*'Standardized Data'!M50</f>
        <v>0.2195485509</v>
      </c>
      <c r="N50" s="24">
        <f>0.25*'Standardized Data'!N50</f>
        <v>0.09340723376</v>
      </c>
      <c r="O50" s="24">
        <f>1*'Standardized Data'!O50</f>
        <v>0.571337952</v>
      </c>
      <c r="P50" s="24">
        <f>1*'Standardized Data'!P50</f>
        <v>0.9963312773</v>
      </c>
      <c r="Q50" s="24">
        <f>1*'Standardized Data'!Q50</f>
        <v>0.2128842012</v>
      </c>
      <c r="R50" s="24">
        <f>1*'Standardized Data'!R50</f>
        <v>0.3510750654</v>
      </c>
      <c r="S50" s="24">
        <f>0.25*'Standardized Data'!S50</f>
        <v>0.210532011</v>
      </c>
      <c r="T50" s="24">
        <f>0.25*'Standardized Data'!T50</f>
        <v>0</v>
      </c>
      <c r="U50" s="24">
        <f>0.25*'Standardized Data'!U50</f>
        <v>0.04586564658</v>
      </c>
      <c r="V50" s="24"/>
      <c r="W50" s="24"/>
      <c r="X50" s="24"/>
      <c r="Y50" s="24"/>
      <c r="Z50" s="24"/>
      <c r="AA50" s="24"/>
      <c r="AB50" s="24"/>
    </row>
    <row r="51">
      <c r="A51" s="24" t="s">
        <v>107</v>
      </c>
      <c r="B51" s="25">
        <v>199710.0</v>
      </c>
      <c r="C51" s="24">
        <f>0.5*'Standardized Data'!C51</f>
        <v>0.3396622226</v>
      </c>
      <c r="D51" s="24">
        <f>0.5*'Standardized Data'!D51</f>
        <v>0.1</v>
      </c>
      <c r="E51" s="24">
        <f>4*'Standardized Data'!E51</f>
        <v>1.776</v>
      </c>
      <c r="F51" s="24">
        <f>4*'Standardized Data'!F51</f>
        <v>3.03226</v>
      </c>
      <c r="G51" s="24">
        <f>2*'Standardized Data'!G51</f>
        <v>0.528</v>
      </c>
      <c r="H51" s="24">
        <f>2*'Standardized Data'!H51</f>
        <v>1.505573234</v>
      </c>
      <c r="I51" s="24">
        <f>1*'Standardized Data'!I51</f>
        <v>0.7873297589</v>
      </c>
      <c r="J51" s="24">
        <f>1*'Standardized Data'!J51</f>
        <v>0.6455164362</v>
      </c>
      <c r="K51" s="24">
        <f>0.25*'Standardized Data'!K51</f>
        <v>0.1940174163</v>
      </c>
      <c r="L51" s="24">
        <f>0.25*'Standardized Data'!L51</f>
        <v>0.1411893357</v>
      </c>
      <c r="M51" s="24">
        <f>0.25*'Standardized Data'!M51</f>
        <v>0.2214838504</v>
      </c>
      <c r="N51" s="24">
        <f>0.25*'Standardized Data'!N51</f>
        <v>0.2355443272</v>
      </c>
      <c r="O51" s="24">
        <f>1*'Standardized Data'!O51</f>
        <v>0.2955156838</v>
      </c>
      <c r="P51" s="24">
        <f>1*'Standardized Data'!P51</f>
        <v>0.3418927125</v>
      </c>
      <c r="Q51" s="24">
        <f>1*'Standardized Data'!Q51</f>
        <v>0.492037919</v>
      </c>
      <c r="R51" s="24">
        <f>1*'Standardized Data'!R51</f>
        <v>0.7824701617</v>
      </c>
      <c r="S51" s="24">
        <f>0.25*'Standardized Data'!S51</f>
        <v>0.1444403451</v>
      </c>
      <c r="T51" s="24">
        <f>0.25*'Standardized Data'!T51</f>
        <v>0.06975067103</v>
      </c>
      <c r="U51" s="24">
        <f>0.25*'Standardized Data'!U51</f>
        <v>0.1108497339</v>
      </c>
      <c r="V51" s="24"/>
      <c r="W51" s="24"/>
      <c r="X51" s="24"/>
      <c r="Y51" s="24"/>
      <c r="Z51" s="24"/>
      <c r="AA51" s="24"/>
      <c r="AB51" s="24"/>
    </row>
    <row r="52">
      <c r="A52" s="24" t="s">
        <v>108</v>
      </c>
      <c r="B52" s="25">
        <v>44574.0</v>
      </c>
      <c r="C52" s="24">
        <f>0.5*'Standardized Data'!C52</f>
        <v>0.2188125143</v>
      </c>
      <c r="D52" s="24">
        <f>0.5*'Standardized Data'!D52</f>
        <v>0.5</v>
      </c>
      <c r="E52" s="24">
        <f>4*'Standardized Data'!E52</f>
        <v>1.62</v>
      </c>
      <c r="F52" s="24">
        <f>4*'Standardized Data'!F52</f>
        <v>2.258064</v>
      </c>
      <c r="G52" s="24">
        <f>2*'Standardized Data'!G52</f>
        <v>1.32</v>
      </c>
      <c r="H52" s="24">
        <f>2*'Standardized Data'!H52</f>
        <v>1.209113258</v>
      </c>
      <c r="I52" s="24">
        <f>1*'Standardized Data'!I52</f>
        <v>0.7106847137</v>
      </c>
      <c r="J52" s="24">
        <f>1*'Standardized Data'!J52</f>
        <v>0.5856892326</v>
      </c>
      <c r="K52" s="24">
        <f>0.25*'Standardized Data'!K52</f>
        <v>0.248261484</v>
      </c>
      <c r="L52" s="24">
        <f>0.25*'Standardized Data'!L52</f>
        <v>0.09123258452</v>
      </c>
      <c r="M52" s="24">
        <f>0.25*'Standardized Data'!M52</f>
        <v>0.1678280803</v>
      </c>
      <c r="N52" s="24">
        <f>0.25*'Standardized Data'!N52</f>
        <v>0.1365880548</v>
      </c>
      <c r="O52" s="24">
        <f>1*'Standardized Data'!O52</f>
        <v>0.3330937179</v>
      </c>
      <c r="P52" s="24">
        <f>1*'Standardized Data'!P52</f>
        <v>0.5957541197</v>
      </c>
      <c r="Q52" s="24">
        <f>1*'Standardized Data'!Q52</f>
        <v>0.1316049578</v>
      </c>
      <c r="R52" s="24">
        <f>1*'Standardized Data'!R52</f>
        <v>0.7518240375</v>
      </c>
      <c r="S52" s="24">
        <f>0.25*'Standardized Data'!S52</f>
        <v>0.09799880077</v>
      </c>
      <c r="T52" s="24">
        <f>0.25*'Standardized Data'!T52</f>
        <v>0.04969565955</v>
      </c>
      <c r="U52" s="24">
        <f>0.25*'Standardized Data'!U52</f>
        <v>0.1157511399</v>
      </c>
      <c r="V52" s="24"/>
      <c r="W52" s="24"/>
      <c r="X52" s="24"/>
      <c r="Y52" s="24"/>
      <c r="Z52" s="24"/>
      <c r="AA52" s="24"/>
      <c r="AB52" s="24"/>
    </row>
    <row r="53">
      <c r="A53" s="24" t="s">
        <v>109</v>
      </c>
      <c r="B53" s="25">
        <v>241955.0</v>
      </c>
      <c r="C53" s="24">
        <f>0.5*'Standardized Data'!C53</f>
        <v>0.3289667178</v>
      </c>
      <c r="D53" s="24">
        <f>0.5*'Standardized Data'!D53</f>
        <v>0.1</v>
      </c>
      <c r="E53" s="24">
        <f>4*'Standardized Data'!E53</f>
        <v>2.2</v>
      </c>
      <c r="F53" s="24">
        <f>4*'Standardized Data'!F53</f>
        <v>2.709676</v>
      </c>
      <c r="G53" s="24">
        <f>2*'Standardized Data'!G53</f>
        <v>0.336</v>
      </c>
      <c r="H53" s="24">
        <f>2*'Standardized Data'!H53</f>
        <v>2</v>
      </c>
      <c r="I53" s="24">
        <f>1*'Standardized Data'!I53</f>
        <v>0.69410537</v>
      </c>
      <c r="J53" s="24">
        <f>1*'Standardized Data'!J53</f>
        <v>0.5378884682</v>
      </c>
      <c r="K53" s="24">
        <f>0.25*'Standardized Data'!K53</f>
        <v>0.1292363333</v>
      </c>
      <c r="L53" s="24">
        <f>0.25*'Standardized Data'!L53</f>
        <v>0.09413945081</v>
      </c>
      <c r="M53" s="24">
        <f>0.25*'Standardized Data'!M53</f>
        <v>0.2334903005</v>
      </c>
      <c r="N53" s="24">
        <f>0.25*'Standardized Data'!N53</f>
        <v>0.1513800259</v>
      </c>
      <c r="O53" s="24">
        <f>1*'Standardized Data'!O53</f>
        <v>0.1763664797</v>
      </c>
      <c r="P53" s="24">
        <f>1*'Standardized Data'!P53</f>
        <v>0.4651415299</v>
      </c>
      <c r="Q53" s="24">
        <f>1*'Standardized Data'!Q53</f>
        <v>0.7197847819</v>
      </c>
      <c r="R53" s="24">
        <f>1*'Standardized Data'!R53</f>
        <v>0.5872585912</v>
      </c>
      <c r="S53" s="24">
        <f>0.25*'Standardized Data'!S53</f>
        <v>0.1793230463</v>
      </c>
      <c r="T53" s="24">
        <f>0.25*'Standardized Data'!T53</f>
        <v>0.0713855314</v>
      </c>
      <c r="U53" s="24">
        <f>0.25*'Standardized Data'!U53</f>
        <v>0.09460822898</v>
      </c>
      <c r="V53" s="24"/>
      <c r="W53" s="24"/>
      <c r="X53" s="24"/>
      <c r="Y53" s="24"/>
      <c r="Z53" s="24"/>
      <c r="AA53" s="24"/>
      <c r="AB53" s="24"/>
    </row>
    <row r="54">
      <c r="A54" s="24" t="s">
        <v>110</v>
      </c>
      <c r="B54" s="25">
        <v>9401.0</v>
      </c>
      <c r="C54" s="24">
        <f>0.5*'Standardized Data'!C54</f>
        <v>0.08440207218</v>
      </c>
      <c r="D54" s="24">
        <f>0.5*'Standardized Data'!D54</f>
        <v>0.4</v>
      </c>
      <c r="E54" s="24">
        <f>4*'Standardized Data'!E54</f>
        <v>2.084</v>
      </c>
      <c r="F54" s="24">
        <f>4*'Standardized Data'!F54</f>
        <v>2.774192</v>
      </c>
      <c r="G54" s="24">
        <f>2*'Standardized Data'!G54</f>
        <v>1.158</v>
      </c>
      <c r="H54" s="24">
        <f>2*'Standardized Data'!H54</f>
        <v>1.045619895</v>
      </c>
      <c r="I54" s="24">
        <f>1*'Standardized Data'!I54</f>
        <v>0.5251871034</v>
      </c>
      <c r="J54" s="24">
        <f>1*'Standardized Data'!J54</f>
        <v>0.2896508639</v>
      </c>
      <c r="K54" s="24">
        <f>0.25*'Standardized Data'!K54</f>
        <v>0.08348736408</v>
      </c>
      <c r="L54" s="24">
        <f>0.25*'Standardized Data'!L54</f>
        <v>0.0798347788</v>
      </c>
      <c r="M54" s="24">
        <f>0.25*'Standardized Data'!M54</f>
        <v>0.202697415</v>
      </c>
      <c r="N54" s="24">
        <f>0.25*'Standardized Data'!N54</f>
        <v>0.1047645138</v>
      </c>
      <c r="O54" s="24">
        <f>1*'Standardized Data'!O54</f>
        <v>0.5396716133</v>
      </c>
      <c r="P54" s="24">
        <f>1*'Standardized Data'!P54</f>
        <v>0.8425603268</v>
      </c>
      <c r="Q54" s="24">
        <f>1*'Standardized Data'!Q54</f>
        <v>0.5956773666</v>
      </c>
      <c r="R54" s="24">
        <f>1*'Standardized Data'!R54</f>
        <v>0.5626529772</v>
      </c>
      <c r="S54" s="24">
        <f>0.25*'Standardized Data'!S54</f>
        <v>0.1980827705</v>
      </c>
      <c r="T54" s="24">
        <f>0.25*'Standardized Data'!T54</f>
        <v>0.25</v>
      </c>
      <c r="U54" s="24">
        <f>0.25*'Standardized Data'!U54</f>
        <v>0.04891980906</v>
      </c>
      <c r="V54" s="24"/>
      <c r="W54" s="24"/>
      <c r="X54" s="24"/>
      <c r="Y54" s="24"/>
      <c r="Z54" s="24"/>
      <c r="AA54" s="24"/>
      <c r="AB54" s="24"/>
    </row>
    <row r="55">
      <c r="A55" s="24" t="s">
        <v>111</v>
      </c>
      <c r="B55" s="25">
        <v>67059.0</v>
      </c>
      <c r="C55" s="24">
        <f>0.5*'Standardized Data'!C55</f>
        <v>0.3146387266</v>
      </c>
      <c r="D55" s="24">
        <f>0.5*'Standardized Data'!D55</f>
        <v>0.4</v>
      </c>
      <c r="E55" s="24">
        <f>4*'Standardized Data'!E55</f>
        <v>2.408</v>
      </c>
      <c r="F55" s="24">
        <f>4*'Standardized Data'!F55</f>
        <v>2.516128</v>
      </c>
      <c r="G55" s="24">
        <f>2*'Standardized Data'!G55</f>
        <v>0.518</v>
      </c>
      <c r="H55" s="24">
        <f>2*'Standardized Data'!H55</f>
        <v>0.6721514594</v>
      </c>
      <c r="I55" s="24">
        <f>1*'Standardized Data'!I55</f>
        <v>0.4443433719</v>
      </c>
      <c r="J55" s="24">
        <f>1*'Standardized Data'!J55</f>
        <v>0.3973653839</v>
      </c>
      <c r="K55" s="24">
        <f>0.25*'Standardized Data'!K55</f>
        <v>0.1447190379</v>
      </c>
      <c r="L55" s="24">
        <f>0.25*'Standardized Data'!L55</f>
        <v>0.09327190844</v>
      </c>
      <c r="M55" s="24">
        <f>0.25*'Standardized Data'!M55</f>
        <v>0.1786725196</v>
      </c>
      <c r="N55" s="24">
        <f>0.25*'Standardized Data'!N55</f>
        <v>0.1834328999</v>
      </c>
      <c r="O55" s="24">
        <f>1*'Standardized Data'!O55</f>
        <v>0.369695588</v>
      </c>
      <c r="P55" s="24">
        <f>1*'Standardized Data'!P55</f>
        <v>0.591939737</v>
      </c>
      <c r="Q55" s="24">
        <f>1*'Standardized Data'!Q55</f>
        <v>0.4371642196</v>
      </c>
      <c r="R55" s="24">
        <f>1*'Standardized Data'!R55</f>
        <v>0.7518240375</v>
      </c>
      <c r="S55" s="24">
        <f>0.25*'Standardized Data'!S55</f>
        <v>0.1992291612</v>
      </c>
      <c r="T55" s="24">
        <f>0.25*'Standardized Data'!T55</f>
        <v>0.0745073221</v>
      </c>
      <c r="U55" s="24">
        <f>0.25*'Standardized Data'!U55</f>
        <v>0.1346943628</v>
      </c>
      <c r="V55" s="24"/>
      <c r="W55" s="24"/>
      <c r="X55" s="24"/>
      <c r="Y55" s="24"/>
      <c r="Z55" s="24"/>
      <c r="AA55" s="24"/>
      <c r="AB55" s="24"/>
    </row>
    <row r="56">
      <c r="A56" s="24" t="s">
        <v>112</v>
      </c>
      <c r="B56" s="25">
        <v>54895.0</v>
      </c>
      <c r="C56" s="24">
        <f>0.5*'Standardized Data'!C56</f>
        <v>0.2528080876</v>
      </c>
      <c r="D56" s="24">
        <f>0.5*'Standardized Data'!D56</f>
        <v>0.4</v>
      </c>
      <c r="E56" s="24">
        <f>4*'Standardized Data'!E56</f>
        <v>2.404</v>
      </c>
      <c r="F56" s="24">
        <f>4*'Standardized Data'!F56</f>
        <v>2.193548</v>
      </c>
      <c r="G56" s="24">
        <f>2*'Standardized Data'!G56</f>
        <v>1.162</v>
      </c>
      <c r="H56" s="24">
        <f>2*'Standardized Data'!H56</f>
        <v>1.011027922</v>
      </c>
      <c r="I56" s="24">
        <f>1*'Standardized Data'!I56</f>
        <v>0.2906128369</v>
      </c>
      <c r="J56" s="24">
        <f>1*'Standardized Data'!J56</f>
        <v>0.2181111754</v>
      </c>
      <c r="K56" s="24">
        <f>0.25*'Standardized Data'!K56</f>
        <v>0.09485081146</v>
      </c>
      <c r="L56" s="24">
        <f>0.25*'Standardized Data'!L56</f>
        <v>0.07656324151</v>
      </c>
      <c r="M56" s="24">
        <f>0.25*'Standardized Data'!M56</f>
        <v>0.2256779684</v>
      </c>
      <c r="N56" s="24">
        <f>0.25*'Standardized Data'!N56</f>
        <v>0.1315004257</v>
      </c>
      <c r="O56" s="24">
        <f>1*'Standardized Data'!O56</f>
        <v>0.5072772494</v>
      </c>
      <c r="P56" s="24">
        <f>1*'Standardized Data'!P56</f>
        <v>0.6291814122</v>
      </c>
      <c r="Q56" s="24">
        <f>1*'Standardized Data'!Q56</f>
        <v>0.2708653187</v>
      </c>
      <c r="R56" s="24">
        <f>1*'Standardized Data'!R56</f>
        <v>0.7437867782</v>
      </c>
      <c r="S56" s="24">
        <f>0.25*'Standardized Data'!S56</f>
        <v>0.2171771668</v>
      </c>
      <c r="T56" s="24">
        <f>0.25*'Standardized Data'!T56</f>
        <v>0.06806219924</v>
      </c>
      <c r="U56" s="24">
        <f>0.25*'Standardized Data'!U56</f>
        <v>0.07060863429</v>
      </c>
      <c r="V56" s="24"/>
      <c r="W56" s="24"/>
      <c r="X56" s="24"/>
      <c r="Y56" s="24"/>
      <c r="Z56" s="24"/>
      <c r="AA56" s="24"/>
      <c r="AB56" s="24"/>
    </row>
    <row r="57">
      <c r="A57" s="24" t="s">
        <v>114</v>
      </c>
      <c r="B57" s="25">
        <v>95675.0</v>
      </c>
      <c r="C57" s="24">
        <f>0.5*'Standardized Data'!C57</f>
        <v>0.3322551551</v>
      </c>
      <c r="D57" s="24">
        <f>0.5*'Standardized Data'!D57</f>
        <v>0.1</v>
      </c>
      <c r="E57" s="24">
        <f>4*'Standardized Data'!E57</f>
        <v>1.236</v>
      </c>
      <c r="F57" s="24">
        <f>4*'Standardized Data'!F57</f>
        <v>3.483872</v>
      </c>
      <c r="G57" s="24">
        <f>2*'Standardized Data'!G57</f>
        <v>0.786</v>
      </c>
      <c r="H57" s="24">
        <f>2*'Standardized Data'!H57</f>
        <v>0.5378248054</v>
      </c>
      <c r="I57" s="24">
        <f>1*'Standardized Data'!I57</f>
        <v>0.7217068671</v>
      </c>
      <c r="J57" s="24">
        <f>1*'Standardized Data'!J57</f>
        <v>0.525288465</v>
      </c>
      <c r="K57" s="24">
        <f>0.25*'Standardized Data'!K57</f>
        <v>0.1869095549</v>
      </c>
      <c r="L57" s="24">
        <f>0.25*'Standardized Data'!L57</f>
        <v>0.1154593235</v>
      </c>
      <c r="M57" s="24">
        <f>0.25*'Standardized Data'!M57</f>
        <v>0.1930868418</v>
      </c>
      <c r="N57" s="24">
        <f>0.25*'Standardized Data'!N57</f>
        <v>0.2280623341</v>
      </c>
      <c r="O57" s="24">
        <f>1*'Standardized Data'!O57</f>
        <v>0.2569079874</v>
      </c>
      <c r="P57" s="24">
        <f>1*'Standardized Data'!P57</f>
        <v>0.5230946254</v>
      </c>
      <c r="Q57" s="24">
        <f>1*'Standardized Data'!Q57</f>
        <v>0.6874476562</v>
      </c>
      <c r="R57" s="24">
        <f>1*'Standardized Data'!R57</f>
        <v>0.5364588354</v>
      </c>
      <c r="S57" s="24">
        <f>0.25*'Standardized Data'!S57</f>
        <v>0.1379100481</v>
      </c>
      <c r="T57" s="24">
        <f>0.25*'Standardized Data'!T57</f>
        <v>0.05867377382</v>
      </c>
      <c r="U57" s="24">
        <f>0.25*'Standardized Data'!U57</f>
        <v>0.1039383237</v>
      </c>
      <c r="V57" s="24"/>
      <c r="W57" s="24"/>
      <c r="X57" s="24"/>
      <c r="Y57" s="24"/>
      <c r="Z57" s="24"/>
      <c r="AA57" s="24"/>
      <c r="AB57" s="24"/>
    </row>
    <row r="58">
      <c r="A58" s="24" t="s">
        <v>115</v>
      </c>
      <c r="B58" s="25">
        <v>38412.0</v>
      </c>
      <c r="C58" s="24">
        <f>0.5*'Standardized Data'!C58</f>
        <v>0.2017073126</v>
      </c>
      <c r="D58" s="24">
        <f>0.5*'Standardized Data'!D58</f>
        <v>0.5</v>
      </c>
      <c r="E58" s="24">
        <f>4*'Standardized Data'!E58</f>
        <v>1.056</v>
      </c>
      <c r="F58" s="24">
        <f>4*'Standardized Data'!F58</f>
        <v>3.225808</v>
      </c>
      <c r="G58" s="24">
        <f>2*'Standardized Data'!G58</f>
        <v>1.104</v>
      </c>
      <c r="H58" s="24">
        <f>2*'Standardized Data'!H58</f>
        <v>1.344732971</v>
      </c>
      <c r="I58" s="24">
        <f>1*'Standardized Data'!I58</f>
        <v>0.7217068671</v>
      </c>
      <c r="J58" s="24">
        <f>1*'Standardized Data'!J58</f>
        <v>0.4719218601</v>
      </c>
      <c r="K58" s="24">
        <f>0.25*'Standardized Data'!K58</f>
        <v>0.2418336999</v>
      </c>
      <c r="L58" s="24">
        <f>0.25*'Standardized Data'!L58</f>
        <v>0.09360880648</v>
      </c>
      <c r="M58" s="24">
        <f>0.25*'Standardized Data'!M58</f>
        <v>0.1674888654</v>
      </c>
      <c r="N58" s="24">
        <f>0.25*'Standardized Data'!N58</f>
        <v>0.1315004257</v>
      </c>
      <c r="O58" s="24">
        <f>1*'Standardized Data'!O58</f>
        <v>0.2955156838</v>
      </c>
      <c r="P58" s="24">
        <f>1*'Standardized Data'!P58</f>
        <v>0.5917436876</v>
      </c>
      <c r="Q58" s="24">
        <f>1*'Standardized Data'!Q58</f>
        <v>0.2259798062</v>
      </c>
      <c r="R58" s="24">
        <f>1*'Standardized Data'!R58</f>
        <v>0.8745102701</v>
      </c>
      <c r="S58" s="24">
        <f>0.25*'Standardized Data'!S58</f>
        <v>0.1037233876</v>
      </c>
      <c r="T58" s="24">
        <f>0.25*'Standardized Data'!T58</f>
        <v>0.0745073221</v>
      </c>
      <c r="U58" s="24">
        <f>0.25*'Standardized Data'!U58</f>
        <v>0.148429444</v>
      </c>
      <c r="V58" s="24"/>
      <c r="W58" s="24"/>
      <c r="X58" s="24"/>
      <c r="Y58" s="24"/>
      <c r="Z58" s="24"/>
      <c r="AA58" s="24"/>
      <c r="AB58" s="24"/>
    </row>
    <row r="59">
      <c r="A59" s="24" t="s">
        <v>116</v>
      </c>
      <c r="B59" s="25">
        <v>22071.0</v>
      </c>
      <c r="C59" s="24">
        <f>0.5*'Standardized Data'!C59</f>
        <v>0.1636822495</v>
      </c>
      <c r="D59" s="24">
        <f>0.5*'Standardized Data'!D59</f>
        <v>0.2</v>
      </c>
      <c r="E59" s="24">
        <f>4*'Standardized Data'!E59</f>
        <v>0.696</v>
      </c>
      <c r="F59" s="24">
        <f>4*'Standardized Data'!F59</f>
        <v>2.774192</v>
      </c>
      <c r="G59" s="24">
        <f>2*'Standardized Data'!G59</f>
        <v>0.516</v>
      </c>
      <c r="H59" s="24">
        <f>2*'Standardized Data'!H59</f>
        <v>1.874805185</v>
      </c>
      <c r="I59" s="24">
        <f>1*'Standardized Data'!I59</f>
        <v>0.7710053425</v>
      </c>
      <c r="J59" s="24">
        <f>1*'Standardized Data'!J59</f>
        <v>0.6136595149</v>
      </c>
      <c r="K59" s="24">
        <f>0.25*'Standardized Data'!K59</f>
        <v>0.2391953619</v>
      </c>
      <c r="L59" s="24">
        <f>0.25*'Standardized Data'!L59</f>
        <v>0.071693513</v>
      </c>
      <c r="M59" s="24">
        <f>0.25*'Standardized Data'!M59</f>
        <v>0.1887208533</v>
      </c>
      <c r="N59" s="24">
        <f>0.25*'Standardized Data'!N59</f>
        <v>0.1102945669</v>
      </c>
      <c r="O59" s="24">
        <f>1*'Standardized Data'!O59</f>
        <v>0.4741205957</v>
      </c>
      <c r="P59" s="24">
        <f>1*'Standardized Data'!P59</f>
        <v>0.7453729692</v>
      </c>
      <c r="Q59" s="24">
        <f>1*'Standardized Data'!Q59</f>
        <v>0.6350594075</v>
      </c>
      <c r="R59" s="24">
        <f>1*'Standardized Data'!R59</f>
        <v>0.4624602896</v>
      </c>
      <c r="S59" s="24">
        <f>0.25*'Standardized Data'!S59</f>
        <v>0.1149542368</v>
      </c>
      <c r="T59" s="24">
        <f>0.25*'Standardized Data'!T59</f>
        <v>0.04718326976</v>
      </c>
      <c r="U59" s="24">
        <f>0.25*'Standardized Data'!U59</f>
        <v>0.1091639183</v>
      </c>
      <c r="V59" s="24"/>
      <c r="W59" s="24"/>
      <c r="X59" s="24"/>
      <c r="Y59" s="24"/>
      <c r="Z59" s="24"/>
      <c r="AA59" s="24"/>
      <c r="AB59" s="24"/>
    </row>
    <row r="60">
      <c r="A60" s="24" t="s">
        <v>117</v>
      </c>
      <c r="B60" s="25">
        <v>21447.0</v>
      </c>
      <c r="C60" s="24">
        <f>0.5*'Standardized Data'!C60</f>
        <v>0.157754658</v>
      </c>
      <c r="D60" s="24">
        <f>0.5*'Standardized Data'!D60</f>
        <v>0.5</v>
      </c>
      <c r="E60" s="24">
        <f>4*'Standardized Data'!E60</f>
        <v>2.248</v>
      </c>
      <c r="F60" s="24">
        <f>4*'Standardized Data'!F60</f>
        <v>2.258064</v>
      </c>
      <c r="G60" s="24">
        <f>2*'Standardized Data'!G60</f>
        <v>0.324</v>
      </c>
      <c r="H60" s="24">
        <f>2*'Standardized Data'!H60</f>
        <v>1.302096493</v>
      </c>
      <c r="I60" s="24">
        <f>1*'Standardized Data'!I60</f>
        <v>0.3384246038</v>
      </c>
      <c r="J60" s="24">
        <f>1*'Standardized Data'!J60</f>
        <v>0.1921330126</v>
      </c>
      <c r="K60" s="24">
        <f>0.25*'Standardized Data'!K60</f>
        <v>0.07066045184</v>
      </c>
      <c r="L60" s="24">
        <f>0.25*'Standardized Data'!L60</f>
        <v>0.02014233925</v>
      </c>
      <c r="M60" s="24">
        <f>0.25*'Standardized Data'!M60</f>
        <v>0.2273926903</v>
      </c>
      <c r="N60" s="24">
        <f>0.25*'Standardized Data'!N60</f>
        <v>0.1263300673</v>
      </c>
      <c r="O60" s="24">
        <f>1*'Standardized Data'!O60</f>
        <v>0.5072772494</v>
      </c>
      <c r="P60" s="24">
        <f>1*'Standardized Data'!P60</f>
        <v>0.6999129696</v>
      </c>
      <c r="Q60" s="24">
        <f>1*'Standardized Data'!Q60</f>
        <v>0.4315556308</v>
      </c>
      <c r="R60" s="24">
        <f>1*'Standardized Data'!R60</f>
        <v>0.4286183352</v>
      </c>
      <c r="S60" s="24">
        <f>0.25*'Standardized Data'!S60</f>
        <v>0.1992291612</v>
      </c>
      <c r="T60" s="24">
        <f>0.25*'Standardized Data'!T60</f>
        <v>0.06263678844</v>
      </c>
      <c r="U60" s="24">
        <f>0.25*'Standardized Data'!U60</f>
        <v>0.08437093712</v>
      </c>
      <c r="V60" s="24"/>
      <c r="W60" s="24"/>
      <c r="X60" s="24"/>
      <c r="Y60" s="24"/>
      <c r="Z60" s="24"/>
      <c r="AA60" s="24"/>
      <c r="AB60" s="24"/>
    </row>
    <row r="61">
      <c r="A61" s="24" t="s">
        <v>118</v>
      </c>
      <c r="B61" s="25">
        <v>44893.0</v>
      </c>
      <c r="C61" s="24">
        <f>0.5*'Standardized Data'!C61</f>
        <v>0.2278586868</v>
      </c>
      <c r="D61" s="24">
        <f>0.5*'Standardized Data'!D61</f>
        <v>0.4</v>
      </c>
      <c r="E61" s="24">
        <f>4*'Standardized Data'!E61</f>
        <v>1.096</v>
      </c>
      <c r="F61" s="24">
        <f>4*'Standardized Data'!F61</f>
        <v>3.612904</v>
      </c>
      <c r="G61" s="24">
        <f>2*'Standardized Data'!G61</f>
        <v>0.242</v>
      </c>
      <c r="H61" s="24">
        <f>2*'Standardized Data'!H61</f>
        <v>0.1291144504</v>
      </c>
      <c r="I61" s="24">
        <f>1*'Standardized Data'!I61</f>
        <v>0.5022231879</v>
      </c>
      <c r="J61" s="24">
        <f>1*'Standardized Data'!J61</f>
        <v>0.2799614433</v>
      </c>
      <c r="K61" s="24">
        <f>0.25*'Standardized Data'!K61</f>
        <v>0.2430560662</v>
      </c>
      <c r="L61" s="24">
        <f>0.25*'Standardized Data'!L61</f>
        <v>0.100973509</v>
      </c>
      <c r="M61" s="24">
        <f>0.25*'Standardized Data'!M61</f>
        <v>0.1593835343</v>
      </c>
      <c r="N61" s="24">
        <f>0.25*'Standardized Data'!N61</f>
        <v>0.1315004257</v>
      </c>
      <c r="O61" s="24">
        <f>1*'Standardized Data'!O61</f>
        <v>0.5396716133</v>
      </c>
      <c r="P61" s="24">
        <f>1*'Standardized Data'!P61</f>
        <v>0.719412939</v>
      </c>
      <c r="Q61" s="24">
        <f>1*'Standardized Data'!Q61</f>
        <v>0.3683175235</v>
      </c>
      <c r="R61" s="24">
        <f>1*'Standardized Data'!R61</f>
        <v>0.8109638469</v>
      </c>
      <c r="S61" s="24">
        <f>0.25*'Standardized Data'!S61</f>
        <v>0.1379100481</v>
      </c>
      <c r="T61" s="24">
        <f>0.25*'Standardized Data'!T61</f>
        <v>0.0788615013</v>
      </c>
      <c r="U61" s="24">
        <f>0.25*'Standardized Data'!U61</f>
        <v>0.1157511399</v>
      </c>
      <c r="V61" s="24"/>
      <c r="W61" s="24"/>
      <c r="X61" s="24"/>
      <c r="Y61" s="24"/>
      <c r="Z61" s="24"/>
      <c r="AA61" s="24"/>
      <c r="AB61" s="24"/>
    </row>
    <row r="62">
      <c r="A62" s="27" t="s">
        <v>119</v>
      </c>
      <c r="B62" s="28">
        <v>600000.0</v>
      </c>
      <c r="C62" s="24">
        <f>0.5*'Standardized Data'!C62</f>
        <v>0.5</v>
      </c>
      <c r="D62" s="24">
        <f>0.5*'Standardized Data'!D62</f>
        <v>0</v>
      </c>
      <c r="E62" s="24">
        <f>4*'Standardized Data'!E62</f>
        <v>2.748</v>
      </c>
      <c r="F62" s="24">
        <f>4*'Standardized Data'!F62</f>
        <v>0.903224</v>
      </c>
      <c r="G62" s="24">
        <f>2*'Standardized Data'!G62</f>
        <v>0.284</v>
      </c>
      <c r="H62" s="24">
        <f>2*'Standardized Data'!H62</f>
        <v>1.199237541</v>
      </c>
      <c r="I62" s="24">
        <f>1*'Standardized Data'!I62</f>
        <v>0.7655518957</v>
      </c>
      <c r="J62" s="24">
        <f>1*'Standardized Data'!J62</f>
        <v>0.8622530813</v>
      </c>
      <c r="K62" s="24">
        <f>0.25*'Standardized Data'!K62</f>
        <v>0.1656275874</v>
      </c>
      <c r="L62" s="24">
        <f>0.25*'Standardized Data'!L62</f>
        <v>0.1399636594</v>
      </c>
      <c r="M62" s="24">
        <f>0.25*'Standardized Data'!M62</f>
        <v>0.1340693027</v>
      </c>
      <c r="N62" s="24">
        <f>0.25*'Standardized Data'!N62</f>
        <v>0.2280623341</v>
      </c>
      <c r="O62" s="24">
        <f>1*'Standardized Data'!O62</f>
        <v>0.44016491</v>
      </c>
      <c r="P62" s="24">
        <f>1*'Standardized Data'!P62</f>
        <v>0.1398646349</v>
      </c>
      <c r="Q62" s="24">
        <f>1*'Standardized Data'!Q62</f>
        <v>0.5133940915</v>
      </c>
      <c r="R62" s="24">
        <f>1*'Standardized Data'!R62</f>
        <v>0.9445683157</v>
      </c>
      <c r="S62" s="24">
        <f>0.25*'Standardized Data'!S62</f>
        <v>0.1470256134</v>
      </c>
      <c r="T62" s="24">
        <f>0.25*'Standardized Data'!T62</f>
        <v>0.0713855314</v>
      </c>
      <c r="U62" s="24">
        <f>0.25*'Standardized Data'!U62</f>
        <v>0.1074506898</v>
      </c>
      <c r="V62" s="24"/>
      <c r="W62" s="24"/>
      <c r="X62" s="24"/>
      <c r="Y62" s="24"/>
      <c r="Z62" s="24"/>
      <c r="AA62" s="24"/>
      <c r="AB62" s="24"/>
    </row>
    <row r="63">
      <c r="A63" s="27" t="s">
        <v>122</v>
      </c>
      <c r="B63" s="28">
        <v>560000.0</v>
      </c>
      <c r="C63" s="24">
        <f>0.5*'Standardized Data'!C63</f>
        <v>0.5</v>
      </c>
      <c r="D63" s="24">
        <f>0.5*'Standardized Data'!D63</f>
        <v>0</v>
      </c>
      <c r="E63" s="24">
        <f>4*'Standardized Data'!E63</f>
        <v>2.748</v>
      </c>
      <c r="F63" s="24">
        <f>4*'Standardized Data'!F63</f>
        <v>0.903224</v>
      </c>
      <c r="G63" s="24">
        <f>2*'Standardized Data'!G63</f>
        <v>0.284</v>
      </c>
      <c r="H63" s="24">
        <f>2*'Standardized Data'!H63</f>
        <v>1.199237541</v>
      </c>
      <c r="I63" s="24">
        <f>1*'Standardized Data'!I63</f>
        <v>0.7655518957</v>
      </c>
      <c r="J63" s="24">
        <f>1*'Standardized Data'!J63</f>
        <v>0.8622530813</v>
      </c>
      <c r="K63" s="24">
        <f>0.25*'Standardized Data'!K63</f>
        <v>0.1656275874</v>
      </c>
      <c r="L63" s="24">
        <f>0.25*'Standardized Data'!L63</f>
        <v>0.1399636594</v>
      </c>
      <c r="M63" s="24">
        <f>0.25*'Standardized Data'!M63</f>
        <v>0.1340693027</v>
      </c>
      <c r="N63" s="24">
        <f>0.25*'Standardized Data'!N63</f>
        <v>0.2280623341</v>
      </c>
      <c r="O63" s="24">
        <f>1*'Standardized Data'!O63</f>
        <v>0.44016491</v>
      </c>
      <c r="P63" s="24">
        <f>1*'Standardized Data'!P63</f>
        <v>0.1398646349</v>
      </c>
      <c r="Q63" s="24">
        <f>1*'Standardized Data'!Q63</f>
        <v>0.5133940915</v>
      </c>
      <c r="R63" s="24">
        <f>1*'Standardized Data'!R63</f>
        <v>0.9445683157</v>
      </c>
      <c r="S63" s="24">
        <f>0.25*'Standardized Data'!S63</f>
        <v>0.1470256134</v>
      </c>
      <c r="T63" s="24">
        <f>0.25*'Standardized Data'!T63</f>
        <v>0.0713855314</v>
      </c>
      <c r="U63" s="24">
        <f>0.25*'Standardized Data'!U63</f>
        <v>0.1074506898</v>
      </c>
      <c r="V63" s="24"/>
      <c r="W63" s="24"/>
      <c r="X63" s="24"/>
      <c r="Y63" s="24"/>
      <c r="Z63" s="24"/>
      <c r="AA63" s="24"/>
      <c r="AB63" s="24"/>
    </row>
    <row r="64">
      <c r="A64" s="24" t="s">
        <v>123</v>
      </c>
      <c r="B64" s="25">
        <v>14999.0</v>
      </c>
      <c r="C64" s="24">
        <f>0.5*'Standardized Data'!C64</f>
        <v>0.1903344277</v>
      </c>
      <c r="D64" s="24">
        <f>0.5*'Standardized Data'!D64</f>
        <v>0.5</v>
      </c>
      <c r="E64" s="24">
        <f>4*'Standardized Data'!E64</f>
        <v>0.696</v>
      </c>
      <c r="F64" s="24">
        <f>4*'Standardized Data'!F64</f>
        <v>3.870968</v>
      </c>
      <c r="G64" s="24">
        <f>2*'Standardized Data'!G64</f>
        <v>1.856</v>
      </c>
      <c r="H64" s="24">
        <f>2*'Standardized Data'!H64</f>
        <v>1.335299503</v>
      </c>
      <c r="I64" s="24">
        <f>1*'Standardized Data'!I64</f>
        <v>0.705164428</v>
      </c>
      <c r="J64" s="24">
        <f>1*'Standardized Data'!J64</f>
        <v>0.4358548067</v>
      </c>
      <c r="K64" s="24">
        <f>0.25*'Standardized Data'!K64</f>
        <v>0.2474110161</v>
      </c>
      <c r="L64" s="24">
        <f>0.25*'Standardized Data'!L64</f>
        <v>0.04288795376</v>
      </c>
      <c r="M64" s="24">
        <f>0.25*'Standardized Data'!M64</f>
        <v>0.1527952733</v>
      </c>
      <c r="N64" s="24">
        <f>0.25*'Standardized Data'!N64</f>
        <v>0.07557246397</v>
      </c>
      <c r="O64" s="24">
        <f>1*'Standardized Data'!O64</f>
        <v>0.4741205957</v>
      </c>
      <c r="P64" s="24">
        <f>1*'Standardized Data'!P64</f>
        <v>0.6906592826</v>
      </c>
      <c r="Q64" s="24">
        <f>1*'Standardized Data'!Q64</f>
        <v>0.425924289</v>
      </c>
      <c r="R64" s="24">
        <f>1*'Standardized Data'!R64</f>
        <v>0.5226992692</v>
      </c>
      <c r="S64" s="24">
        <f>0.25*'Standardized Data'!S64</f>
        <v>0.1470256134</v>
      </c>
      <c r="T64" s="24">
        <f>0.25*'Standardized Data'!T64</f>
        <v>0.04969565955</v>
      </c>
      <c r="U64" s="24">
        <f>0.25*'Standardized Data'!U64</f>
        <v>0.1057091423</v>
      </c>
      <c r="V64" s="24"/>
      <c r="W64" s="24"/>
      <c r="X64" s="24"/>
      <c r="Y64" s="24"/>
      <c r="Z64" s="24"/>
      <c r="AA64" s="24"/>
      <c r="AB64" s="24"/>
    </row>
    <row r="65">
      <c r="A65" s="24" t="s">
        <v>125</v>
      </c>
      <c r="B65" s="25">
        <v>26085.0</v>
      </c>
      <c r="C65" s="24">
        <f>0.5*'Standardized Data'!C65</f>
        <v>0.171062755</v>
      </c>
      <c r="D65" s="24">
        <f>0.5*'Standardized Data'!D65</f>
        <v>0.5</v>
      </c>
      <c r="E65" s="24">
        <f>4*'Standardized Data'!E65</f>
        <v>2.156</v>
      </c>
      <c r="F65" s="24">
        <f>4*'Standardized Data'!F65</f>
        <v>3.161292</v>
      </c>
      <c r="G65" s="24">
        <f>2*'Standardized Data'!G65</f>
        <v>0.246</v>
      </c>
      <c r="H65" s="24">
        <f>2*'Standardized Data'!H65</f>
        <v>1.172851414</v>
      </c>
      <c r="I65" s="24">
        <f>1*'Standardized Data'!I65</f>
        <v>0.3798847278</v>
      </c>
      <c r="J65" s="24">
        <f>1*'Standardized Data'!J65</f>
        <v>0.3328211399</v>
      </c>
      <c r="K65" s="24">
        <f>0.25*'Standardized Data'!K65</f>
        <v>0.1684895928</v>
      </c>
      <c r="L65" s="24">
        <f>0.25*'Standardized Data'!L65</f>
        <v>0.1181507141</v>
      </c>
      <c r="M65" s="24">
        <f>0.25*'Standardized Data'!M65</f>
        <v>0.1819297588</v>
      </c>
      <c r="N65" s="24">
        <f>0.25*'Standardized Data'!N65</f>
        <v>0.1962387931</v>
      </c>
      <c r="O65" s="24">
        <f>1*'Standardized Data'!O65</f>
        <v>0.5396716133</v>
      </c>
      <c r="P65" s="24">
        <f>1*'Standardized Data'!P65</f>
        <v>0.7780303428</v>
      </c>
      <c r="Q65" s="24">
        <f>1*'Standardized Data'!Q65</f>
        <v>0.3624231459</v>
      </c>
      <c r="R65" s="24">
        <f>1*'Standardized Data'!R65</f>
        <v>0.5626529772</v>
      </c>
      <c r="S65" s="24">
        <f>0.25*'Standardized Data'!S65</f>
        <v>0.1876288342</v>
      </c>
      <c r="T65" s="24">
        <f>0.25*'Standardized Data'!T65</f>
        <v>0.05657169518</v>
      </c>
      <c r="U65" s="24">
        <f>0.25*'Standardized Data'!U65</f>
        <v>0.07771433046</v>
      </c>
      <c r="V65" s="24"/>
      <c r="W65" s="24"/>
      <c r="X65" s="24"/>
      <c r="Y65" s="24"/>
      <c r="Z65" s="24"/>
      <c r="AA65" s="24"/>
      <c r="AB65" s="24"/>
    </row>
    <row r="66">
      <c r="A66" s="24" t="s">
        <v>127</v>
      </c>
      <c r="B66" s="25">
        <v>106898.0</v>
      </c>
      <c r="C66" s="24">
        <f>0.5*'Standardized Data'!C66</f>
        <v>0.2682244113</v>
      </c>
      <c r="D66" s="24">
        <f>0.5*'Standardized Data'!D66</f>
        <v>0.3</v>
      </c>
      <c r="E66" s="24">
        <f>4*'Standardized Data'!E66</f>
        <v>1.64</v>
      </c>
      <c r="F66" s="24">
        <f>4*'Standardized Data'!F66</f>
        <v>2.903224</v>
      </c>
      <c r="G66" s="24">
        <f>2*'Standardized Data'!G66</f>
        <v>0.416</v>
      </c>
      <c r="H66" s="24">
        <f>2*'Standardized Data'!H66</f>
        <v>1.095374353</v>
      </c>
      <c r="I66" s="24">
        <f>1*'Standardized Data'!I66</f>
        <v>0.8681546493</v>
      </c>
      <c r="J66" s="24">
        <f>1*'Standardized Data'!J66</f>
        <v>0.7633665317</v>
      </c>
      <c r="K66" s="24">
        <f>0.25*'Standardized Data'!K66</f>
        <v>0.1573346366</v>
      </c>
      <c r="L66" s="24">
        <f>0.25*'Standardized Data'!L66</f>
        <v>0.1119304889</v>
      </c>
      <c r="M66" s="24">
        <f>0.25*'Standardized Data'!M66</f>
        <v>0.2177439558</v>
      </c>
      <c r="N66" s="24">
        <f>0.25*'Standardized Data'!N66</f>
        <v>0.1920272078</v>
      </c>
      <c r="O66" s="24">
        <f>1*'Standardized Data'!O66</f>
        <v>0.369695588</v>
      </c>
      <c r="P66" s="24">
        <f>1*'Standardized Data'!P66</f>
        <v>0.4287087047</v>
      </c>
      <c r="Q66" s="24">
        <f>1*'Standardized Data'!Q66</f>
        <v>0.414592603</v>
      </c>
      <c r="R66" s="24">
        <f>1*'Standardized Data'!R66</f>
        <v>0.7897833024</v>
      </c>
      <c r="S66" s="24">
        <f>0.25*'Standardized Data'!S66</f>
        <v>0.1190931122</v>
      </c>
      <c r="T66" s="24">
        <f>0.25*'Standardized Data'!T66</f>
        <v>0.06263678844</v>
      </c>
      <c r="U66" s="24">
        <f>0.25*'Standardized Data'!U66</f>
        <v>0.09063186168</v>
      </c>
      <c r="V66" s="24"/>
      <c r="W66" s="24"/>
      <c r="X66" s="24"/>
      <c r="Y66" s="24"/>
      <c r="Z66" s="24"/>
      <c r="AA66" s="24"/>
      <c r="AB66" s="24"/>
    </row>
    <row r="67">
      <c r="A67" s="24" t="s">
        <v>129</v>
      </c>
      <c r="B67" s="25">
        <v>96551.0</v>
      </c>
      <c r="C67" s="24">
        <f>0.5*'Standardized Data'!C67</f>
        <v>0.2794401625</v>
      </c>
      <c r="D67" s="24">
        <f>0.5*'Standardized Data'!D67</f>
        <v>0.3</v>
      </c>
      <c r="E67" s="24">
        <f>4*'Standardized Data'!E67</f>
        <v>2.424</v>
      </c>
      <c r="F67" s="24">
        <f>4*'Standardized Data'!F67</f>
        <v>2.064516</v>
      </c>
      <c r="G67" s="24">
        <f>2*'Standardized Data'!G67</f>
        <v>1.198</v>
      </c>
      <c r="H67" s="24">
        <f>2*'Standardized Data'!H67</f>
        <v>1.304715349</v>
      </c>
      <c r="I67" s="24">
        <f>1*'Standardized Data'!I67</f>
        <v>0.5194560954</v>
      </c>
      <c r="J67" s="24">
        <f>1*'Standardized Data'!J67</f>
        <v>0.4000133197</v>
      </c>
      <c r="K67" s="24">
        <f>0.25*'Standardized Data'!K67</f>
        <v>0.1277518651</v>
      </c>
      <c r="L67" s="24">
        <f>0.25*'Standardized Data'!L67</f>
        <v>0.07813040065</v>
      </c>
      <c r="M67" s="24">
        <f>0.25*'Standardized Data'!M67</f>
        <v>0.2249621932</v>
      </c>
      <c r="N67" s="24">
        <f>0.25*'Standardized Data'!N67</f>
        <v>0.1655143545</v>
      </c>
      <c r="O67" s="24">
        <f>1*'Standardized Data'!O67</f>
        <v>0.8019069899</v>
      </c>
      <c r="P67" s="24">
        <f>1*'Standardized Data'!P67</f>
        <v>0.4133975927</v>
      </c>
      <c r="Q67" s="24">
        <f>1*'Standardized Data'!Q67</f>
        <v>0.2834276111</v>
      </c>
      <c r="R67" s="24">
        <f>1*'Standardized Data'!R67</f>
        <v>0.6825725438</v>
      </c>
      <c r="S67" s="24">
        <f>0.25*'Standardized Data'!S67</f>
        <v>0.237582644</v>
      </c>
      <c r="T67" s="24">
        <f>0.25*'Standardized Data'!T67</f>
        <v>0.06806219924</v>
      </c>
      <c r="U67" s="24">
        <f>0.25*'Standardized Data'!U67</f>
        <v>0.09263880289</v>
      </c>
      <c r="V67" s="24"/>
      <c r="W67" s="24"/>
      <c r="X67" s="24"/>
      <c r="Y67" s="24"/>
      <c r="Z67" s="24"/>
      <c r="AA67" s="24"/>
      <c r="AB67" s="24"/>
    </row>
    <row r="68">
      <c r="A68" s="24" t="s">
        <v>131</v>
      </c>
      <c r="B68" s="25">
        <v>238852.0</v>
      </c>
      <c r="C68" s="24">
        <f>0.5*'Standardized Data'!C68</f>
        <v>0.4491961926</v>
      </c>
      <c r="D68" s="24">
        <f>0.5*'Standardized Data'!D68</f>
        <v>0.2</v>
      </c>
      <c r="E68" s="24">
        <f>4*'Standardized Data'!E68</f>
        <v>1.72</v>
      </c>
      <c r="F68" s="24">
        <f>4*'Standardized Data'!F68</f>
        <v>1.935484</v>
      </c>
      <c r="G68" s="24">
        <f>2*'Standardized Data'!G68</f>
        <v>0.672</v>
      </c>
      <c r="H68" s="24">
        <f>2*'Standardized Data'!H68</f>
        <v>0.9348075004</v>
      </c>
      <c r="I68" s="24">
        <f>1*'Standardized Data'!I68</f>
        <v>0.9160241608</v>
      </c>
      <c r="J68" s="24">
        <f>1*'Standardized Data'!J68</f>
        <v>0.8155795043</v>
      </c>
      <c r="K68" s="24">
        <f>0.25*'Standardized Data'!K68</f>
        <v>0.0621112544</v>
      </c>
      <c r="L68" s="24">
        <f>0.25*'Standardized Data'!L68</f>
        <v>0.1903956746</v>
      </c>
      <c r="M68" s="24">
        <f>0.25*'Standardized Data'!M68</f>
        <v>0.08939809209</v>
      </c>
      <c r="N68" s="24">
        <f>0.25*'Standardized Data'!N68</f>
        <v>0</v>
      </c>
      <c r="O68" s="24">
        <f>1*'Standardized Data'!O68</f>
        <v>0.2955156838</v>
      </c>
      <c r="P68" s="24">
        <f>1*'Standardized Data'!P68</f>
        <v>0.1813344176</v>
      </c>
      <c r="Q68" s="24">
        <f>1*'Standardized Data'!Q68</f>
        <v>0.1523752779</v>
      </c>
      <c r="R68" s="24">
        <f>1*'Standardized Data'!R68</f>
        <v>0.8685850798</v>
      </c>
      <c r="S68" s="24">
        <f>0.25*'Standardized Data'!S68</f>
        <v>0.1121732371</v>
      </c>
      <c r="T68" s="24">
        <f>0.25*'Standardized Data'!T68</f>
        <v>0.0713855314</v>
      </c>
      <c r="U68" s="24">
        <f>0.25*'Standardized Data'!U68</f>
        <v>0.1292198209</v>
      </c>
      <c r="V68" s="24"/>
      <c r="W68" s="24"/>
      <c r="X68" s="24"/>
      <c r="Y68" s="24"/>
      <c r="Z68" s="24"/>
      <c r="AA68" s="24"/>
      <c r="AB68" s="24"/>
    </row>
    <row r="69">
      <c r="A69" s="24" t="s">
        <v>133</v>
      </c>
      <c r="B69" s="25">
        <v>16715.0</v>
      </c>
      <c r="C69" s="24">
        <f>0.5*'Standardized Data'!C69</f>
        <v>0.122029657</v>
      </c>
      <c r="D69" s="24">
        <f>0.5*'Standardized Data'!D69</f>
        <v>0.4</v>
      </c>
      <c r="E69" s="24">
        <f>4*'Standardized Data'!E69</f>
        <v>2.164</v>
      </c>
      <c r="F69" s="24">
        <f>4*'Standardized Data'!F69</f>
        <v>1.35484</v>
      </c>
      <c r="G69" s="24">
        <f>2*'Standardized Data'!G69</f>
        <v>0.44</v>
      </c>
      <c r="H69" s="24">
        <f>2*'Standardized Data'!H69</f>
        <v>0.2781662382</v>
      </c>
      <c r="I69" s="24">
        <f>1*'Standardized Data'!I69</f>
        <v>0.4092881132</v>
      </c>
      <c r="J69" s="24">
        <f>1*'Standardized Data'!J69</f>
        <v>0.3238401144</v>
      </c>
      <c r="K69" s="24">
        <f>0.25*'Standardized Data'!K69</f>
        <v>0.128898408</v>
      </c>
      <c r="L69" s="24">
        <f>0.25*'Standardized Data'!L69</f>
        <v>0.1274138272</v>
      </c>
      <c r="M69" s="24">
        <f>0.25*'Standardized Data'!M69</f>
        <v>0.2330044107</v>
      </c>
      <c r="N69" s="24">
        <f>0.25*'Standardized Data'!N69</f>
        <v>0.1365880548</v>
      </c>
      <c r="O69" s="24">
        <f>1*'Standardized Data'!O69</f>
        <v>0.8794913238</v>
      </c>
      <c r="P69" s="24">
        <f>1*'Standardized Data'!P69</f>
        <v>0.9405387727</v>
      </c>
      <c r="Q69" s="24">
        <f>1*'Standardized Data'!Q69</f>
        <v>0.5080857721</v>
      </c>
      <c r="R69" s="24">
        <f>1*'Standardized Data'!R69</f>
        <v>0.4105767726</v>
      </c>
      <c r="S69" s="24">
        <f>0.25*'Standardized Data'!S69</f>
        <v>0.2193701414</v>
      </c>
      <c r="T69" s="24">
        <f>0.25*'Standardized Data'!T69</f>
        <v>0.02087892948</v>
      </c>
      <c r="U69" s="24">
        <f>0.25*'Standardized Data'!U69</f>
        <v>0</v>
      </c>
      <c r="V69" s="24"/>
      <c r="W69" s="24"/>
      <c r="X69" s="24"/>
      <c r="Y69" s="24"/>
      <c r="Z69" s="24"/>
      <c r="AA69" s="24"/>
      <c r="AB69" s="24"/>
    </row>
    <row r="70">
      <c r="A70" s="24" t="s">
        <v>134</v>
      </c>
      <c r="B70" s="25">
        <v>213676.0</v>
      </c>
      <c r="C70" s="24">
        <f>0.5*'Standardized Data'!C70</f>
        <v>0.3184087695</v>
      </c>
      <c r="D70" s="24">
        <f>0.5*'Standardized Data'!D70</f>
        <v>0.3</v>
      </c>
      <c r="E70" s="24">
        <f>4*'Standardized Data'!E70</f>
        <v>2.236</v>
      </c>
      <c r="F70" s="24">
        <f>4*'Standardized Data'!F70</f>
        <v>3.03226</v>
      </c>
      <c r="G70" s="24">
        <f>2*'Standardized Data'!G70</f>
        <v>0.806</v>
      </c>
      <c r="H70" s="24">
        <f>2*'Standardized Data'!H70</f>
        <v>0.9473028838</v>
      </c>
      <c r="I70" s="24">
        <f>1*'Standardized Data'!I70</f>
        <v>0.8948059018</v>
      </c>
      <c r="J70" s="24">
        <f>1*'Standardized Data'!J70</f>
        <v>0.5058534828</v>
      </c>
      <c r="K70" s="24">
        <f>0.25*'Standardized Data'!K70</f>
        <v>0.07889202956</v>
      </c>
      <c r="L70" s="24">
        <f>0.25*'Standardized Data'!L70</f>
        <v>0.1916808072</v>
      </c>
      <c r="M70" s="24">
        <f>0.25*'Standardized Data'!M70</f>
        <v>0.1955835641</v>
      </c>
      <c r="N70" s="24">
        <f>0.25*'Standardized Data'!N70</f>
        <v>0.1047645138</v>
      </c>
      <c r="O70" s="24">
        <f>1*'Standardized Data'!O70</f>
        <v>0.4741205957</v>
      </c>
      <c r="P70" s="24">
        <f>1*'Standardized Data'!P70</f>
        <v>0.4549156346</v>
      </c>
      <c r="Q70" s="24">
        <f>1*'Standardized Data'!Q70</f>
        <v>0.2194474467</v>
      </c>
      <c r="R70" s="24">
        <f>1*'Standardized Data'!R70</f>
        <v>1</v>
      </c>
      <c r="S70" s="24">
        <f>0.25*'Standardized Data'!S70</f>
        <v>0.07886313878</v>
      </c>
      <c r="T70" s="24">
        <f>0.25*'Standardized Data'!T70</f>
        <v>0.09927442058</v>
      </c>
      <c r="U70" s="24">
        <f>0.25*'Standardized Data'!U70</f>
        <v>0.180481528</v>
      </c>
      <c r="V70" s="24"/>
      <c r="W70" s="24"/>
      <c r="X70" s="24"/>
      <c r="Y70" s="24"/>
      <c r="Z70" s="24"/>
      <c r="AA70" s="24"/>
      <c r="AB70" s="24"/>
    </row>
    <row r="71">
      <c r="A71" s="24" t="s">
        <v>135</v>
      </c>
      <c r="B71" s="25">
        <v>150626.0</v>
      </c>
      <c r="C71" s="24">
        <f>0.5*'Standardized Data'!C71</f>
        <v>0.3446577808</v>
      </c>
      <c r="D71" s="24">
        <f>0.5*'Standardized Data'!D71</f>
        <v>0.2</v>
      </c>
      <c r="E71" s="24">
        <f>4*'Standardized Data'!E71</f>
        <v>2.188</v>
      </c>
      <c r="F71" s="24">
        <f>4*'Standardized Data'!F71</f>
        <v>0.32258</v>
      </c>
      <c r="G71" s="24">
        <f>2*'Standardized Data'!G71</f>
        <v>1.976</v>
      </c>
      <c r="H71" s="24">
        <f>2*'Standardized Data'!H71</f>
        <v>1.586491467</v>
      </c>
      <c r="I71" s="24">
        <f>1*'Standardized Data'!I71</f>
        <v>0.8948059018</v>
      </c>
      <c r="J71" s="24">
        <f>1*'Standardized Data'!J71</f>
        <v>1</v>
      </c>
      <c r="K71" s="24">
        <f>0.25*'Standardized Data'!K71</f>
        <v>0.1641927201</v>
      </c>
      <c r="L71" s="24">
        <f>0.25*'Standardized Data'!L71</f>
        <v>0.08879274585</v>
      </c>
      <c r="M71" s="24">
        <f>0.25*'Standardized Data'!M71</f>
        <v>0.1956052026</v>
      </c>
      <c r="N71" s="24">
        <f>0.25*'Standardized Data'!N71</f>
        <v>0.1877590895</v>
      </c>
      <c r="O71" s="24">
        <f>1*'Standardized Data'!O71</f>
        <v>0.369695588</v>
      </c>
      <c r="P71" s="24">
        <f>1*'Standardized Data'!P71</f>
        <v>0.5914495328</v>
      </c>
      <c r="Q71" s="24">
        <f>1*'Standardized Data'!Q71</f>
        <v>0.3265213904</v>
      </c>
      <c r="R71" s="24">
        <f>1*'Standardized Data'!R71</f>
        <v>0.7824701617</v>
      </c>
      <c r="S71" s="24">
        <f>0.25*'Standardized Data'!S71</f>
        <v>0</v>
      </c>
      <c r="T71" s="24">
        <f>0.25*'Standardized Data'!T71</f>
        <v>0.04969565955</v>
      </c>
      <c r="U71" s="24">
        <f>0.25*'Standardized Data'!U71</f>
        <v>0.09063186168</v>
      </c>
      <c r="V71" s="24"/>
      <c r="W71" s="24"/>
      <c r="X71" s="24"/>
      <c r="Y71" s="24"/>
      <c r="Z71" s="24"/>
      <c r="AA71" s="24"/>
      <c r="AB71" s="24"/>
    </row>
    <row r="72">
      <c r="A72" s="24" t="s">
        <v>137</v>
      </c>
      <c r="B72" s="25">
        <v>12423.0</v>
      </c>
      <c r="C72" s="24">
        <f>0.5*'Standardized Data'!C72</f>
        <v>0.1425073106</v>
      </c>
      <c r="D72" s="24">
        <f>0.5*'Standardized Data'!D72</f>
        <v>0.4</v>
      </c>
      <c r="E72" s="24">
        <f>4*'Standardized Data'!E72</f>
        <v>1.676</v>
      </c>
      <c r="F72" s="24">
        <f>4*'Standardized Data'!F72</f>
        <v>2.96774</v>
      </c>
      <c r="G72" s="24">
        <f>2*'Standardized Data'!G72</f>
        <v>0.744</v>
      </c>
      <c r="H72" s="24">
        <f>2*'Standardized Data'!H72</f>
        <v>1.241652087</v>
      </c>
      <c r="I72" s="24">
        <f>1*'Standardized Data'!I72</f>
        <v>0.7217068671</v>
      </c>
      <c r="J72" s="24">
        <f>1*'Standardized Data'!J72</f>
        <v>0.490268292</v>
      </c>
      <c r="K72" s="24">
        <f>0.25*'Standardized Data'!K72</f>
        <v>0.04514408161</v>
      </c>
      <c r="L72" s="24">
        <f>0.25*'Standardized Data'!L72</f>
        <v>0.2048176976</v>
      </c>
      <c r="M72" s="24">
        <f>0.25*'Standardized Data'!M72</f>
        <v>0.1965564588</v>
      </c>
      <c r="N72" s="24">
        <f>0.25*'Standardized Data'!N72</f>
        <v>0.09913657862</v>
      </c>
      <c r="O72" s="24">
        <f>1*'Standardized Data'!O72</f>
        <v>0.4741205957</v>
      </c>
      <c r="P72" s="24">
        <f>1*'Standardized Data'!P72</f>
        <v>0.7854788881</v>
      </c>
      <c r="Q72" s="24">
        <f>1*'Standardized Data'!Q72</f>
        <v>0.6638796226</v>
      </c>
      <c r="R72" s="24">
        <f>1*'Standardized Data'!R72</f>
        <v>0.2271303253</v>
      </c>
      <c r="S72" s="24">
        <f>0.25*'Standardized Data'!S72</f>
        <v>0.1720770696</v>
      </c>
      <c r="T72" s="24">
        <f>0.25*'Standardized Data'!T72</f>
        <v>0.09436653952</v>
      </c>
      <c r="U72" s="24">
        <f>0.25*'Standardized Data'!U72</f>
        <v>0.0885859483</v>
      </c>
      <c r="V72" s="24"/>
      <c r="W72" s="24"/>
      <c r="X72" s="24"/>
      <c r="Y72" s="24"/>
      <c r="Z72" s="24"/>
      <c r="AA72" s="24"/>
      <c r="AB72" s="24"/>
    </row>
    <row r="73">
      <c r="A73" s="24" t="s">
        <v>138</v>
      </c>
      <c r="B73" s="25">
        <v>41444.0</v>
      </c>
      <c r="C73" s="24">
        <f>0.5*'Standardized Data'!C73</f>
        <v>0.2788187871</v>
      </c>
      <c r="D73" s="24">
        <f>0.5*'Standardized Data'!D73</f>
        <v>0.4</v>
      </c>
      <c r="E73" s="24">
        <f>4*'Standardized Data'!E73</f>
        <v>2.352</v>
      </c>
      <c r="F73" s="24">
        <f>4*'Standardized Data'!F73</f>
        <v>2.064516</v>
      </c>
      <c r="G73" s="24">
        <f>2*'Standardized Data'!G73</f>
        <v>0.422</v>
      </c>
      <c r="H73" s="24">
        <f>2*'Standardized Data'!H73</f>
        <v>0.9107996303</v>
      </c>
      <c r="I73" s="24">
        <f>1*'Standardized Data'!I73</f>
        <v>0.7217068671</v>
      </c>
      <c r="J73" s="24">
        <f>1*'Standardized Data'!J73</f>
        <v>0.5231612749</v>
      </c>
      <c r="K73" s="24">
        <f>0.25*'Standardized Data'!K73</f>
        <v>0.006800799139</v>
      </c>
      <c r="L73" s="24">
        <f>0.25*'Standardized Data'!L73</f>
        <v>0.1687817482</v>
      </c>
      <c r="M73" s="24">
        <f>0.25*'Standardized Data'!M73</f>
        <v>0.2144635562</v>
      </c>
      <c r="N73" s="24">
        <f>0.25*'Standardized Data'!N73</f>
        <v>0.1210742445</v>
      </c>
      <c r="O73" s="24">
        <f>1*'Standardized Data'!O73</f>
        <v>0.44016491</v>
      </c>
      <c r="P73" s="24">
        <f>1*'Standardized Data'!P73</f>
        <v>0.5191687495</v>
      </c>
      <c r="Q73" s="24">
        <f>1*'Standardized Data'!Q73</f>
        <v>0.610576871</v>
      </c>
      <c r="R73" s="24">
        <f>1*'Standardized Data'!R73</f>
        <v>0.8625721056</v>
      </c>
      <c r="S73" s="24">
        <f>0.25*'Standardized Data'!S73</f>
        <v>0.1609797481</v>
      </c>
      <c r="T73" s="24">
        <f>0.25*'Standardized Data'!T73</f>
        <v>0.07599999983</v>
      </c>
      <c r="U73" s="24">
        <f>0.25*'Standardized Data'!U73</f>
        <v>0.1074506898</v>
      </c>
      <c r="V73" s="24"/>
      <c r="W73" s="24"/>
      <c r="X73" s="24"/>
      <c r="Y73" s="24"/>
      <c r="Z73" s="24"/>
      <c r="AA73" s="24"/>
      <c r="AB73" s="24"/>
    </row>
    <row r="74">
      <c r="A74" s="24" t="s">
        <v>139</v>
      </c>
      <c r="B74" s="25">
        <v>68521.0</v>
      </c>
      <c r="C74" s="24">
        <f>0.5*'Standardized Data'!C74</f>
        <v>0.207536037</v>
      </c>
      <c r="D74" s="24">
        <f>0.5*'Standardized Data'!D74</f>
        <v>0.2</v>
      </c>
      <c r="E74" s="24">
        <f>4*'Standardized Data'!E74</f>
        <v>1.724</v>
      </c>
      <c r="F74" s="24">
        <f>4*'Standardized Data'!F74</f>
        <v>3.03226</v>
      </c>
      <c r="G74" s="24">
        <f>2*'Standardized Data'!G74</f>
        <v>0.832</v>
      </c>
      <c r="H74" s="24">
        <f>2*'Standardized Data'!H74</f>
        <v>1.470335655</v>
      </c>
      <c r="I74" s="24">
        <f>1*'Standardized Data'!I74</f>
        <v>0.7491554464</v>
      </c>
      <c r="J74" s="24">
        <f>1*'Standardized Data'!J74</f>
        <v>0.581854589</v>
      </c>
      <c r="K74" s="24">
        <f>0.25*'Standardized Data'!K74</f>
        <v>0.07999816085</v>
      </c>
      <c r="L74" s="24">
        <f>0.25*'Standardized Data'!L74</f>
        <v>0.1689712091</v>
      </c>
      <c r="M74" s="24">
        <f>0.25*'Standardized Data'!M74</f>
        <v>0.2082528759</v>
      </c>
      <c r="N74" s="24">
        <f>0.25*'Standardized Data'!N74</f>
        <v>0.1047645138</v>
      </c>
      <c r="O74" s="24">
        <f>1*'Standardized Data'!O74</f>
        <v>0.1343008852</v>
      </c>
      <c r="P74" s="24">
        <f>1*'Standardized Data'!P74</f>
        <v>0.5572640831</v>
      </c>
      <c r="Q74" s="24">
        <f>1*'Standardized Data'!Q74</f>
        <v>0.6204217621</v>
      </c>
      <c r="R74" s="24">
        <f>1*'Standardized Data'!R74</f>
        <v>0.5751422189</v>
      </c>
      <c r="S74" s="24">
        <f>0.25*'Standardized Data'!S74</f>
        <v>0.1163381846</v>
      </c>
      <c r="T74" s="24">
        <f>0.25*'Standardized Data'!T74</f>
        <v>0.0388145564</v>
      </c>
      <c r="U74" s="24">
        <f>0.25*'Standardized Data'!U74</f>
        <v>0.06812943219</v>
      </c>
      <c r="V74" s="24"/>
      <c r="W74" s="24"/>
      <c r="X74" s="24"/>
      <c r="Y74" s="24"/>
      <c r="Z74" s="24"/>
      <c r="AA74" s="24"/>
      <c r="AB74" s="24"/>
    </row>
    <row r="75">
      <c r="A75" s="24" t="s">
        <v>140</v>
      </c>
      <c r="B75" s="25">
        <v>13377.0</v>
      </c>
      <c r="C75" s="24">
        <f>0.5*'Standardized Data'!C75</f>
        <v>0.1738169663</v>
      </c>
      <c r="D75" s="24">
        <f>0.5*'Standardized Data'!D75</f>
        <v>0.5</v>
      </c>
      <c r="E75" s="24">
        <f>4*'Standardized Data'!E75</f>
        <v>1.76</v>
      </c>
      <c r="F75" s="24">
        <f>4*'Standardized Data'!F75</f>
        <v>3.161292</v>
      </c>
      <c r="G75" s="24">
        <f>2*'Standardized Data'!G75</f>
        <v>0.954</v>
      </c>
      <c r="H75" s="24">
        <f>2*'Standardized Data'!H75</f>
        <v>1.335299503</v>
      </c>
      <c r="I75" s="24">
        <f>1*'Standardized Data'!I75</f>
        <v>0.53662927</v>
      </c>
      <c r="J75" s="24">
        <f>1*'Standardized Data'!J75</f>
        <v>0.364597776</v>
      </c>
      <c r="K75" s="24">
        <f>0.25*'Standardized Data'!K75</f>
        <v>0.0467853193</v>
      </c>
      <c r="L75" s="24">
        <f>0.25*'Standardized Data'!L75</f>
        <v>0.1762255744</v>
      </c>
      <c r="M75" s="24">
        <f>0.25*'Standardized Data'!M75</f>
        <v>0.2079935891</v>
      </c>
      <c r="N75" s="24">
        <f>0.25*'Standardized Data'!N75</f>
        <v>0.1102945669</v>
      </c>
      <c r="O75" s="24">
        <f>1*'Standardized Data'!O75</f>
        <v>0.44016491</v>
      </c>
      <c r="P75" s="24">
        <f>1*'Standardized Data'!P75</f>
        <v>0.8304874184</v>
      </c>
      <c r="Q75" s="24">
        <f>1*'Standardized Data'!Q75</f>
        <v>0.8082302225</v>
      </c>
      <c r="R75" s="24">
        <f>1*'Standardized Data'!R75</f>
        <v>0.6429441812</v>
      </c>
      <c r="S75" s="24">
        <f>0.25*'Standardized Data'!S75</f>
        <v>0.1431420025</v>
      </c>
      <c r="T75" s="24">
        <f>0.25*'Standardized Data'!T75</f>
        <v>0.06806219924</v>
      </c>
      <c r="U75" s="24">
        <f>0.25*'Standardized Data'!U75</f>
        <v>0.07539860585</v>
      </c>
      <c r="V75" s="24"/>
      <c r="W75" s="24"/>
      <c r="X75" s="24"/>
      <c r="Y75" s="24"/>
      <c r="Z75" s="24"/>
      <c r="AA75" s="24"/>
      <c r="AB75" s="24"/>
    </row>
    <row r="76">
      <c r="A76" s="24" t="s">
        <v>141</v>
      </c>
      <c r="B76" s="25">
        <v>39737.0</v>
      </c>
      <c r="C76" s="24">
        <f>0.5*'Standardized Data'!C76</f>
        <v>0.2278586868</v>
      </c>
      <c r="D76" s="24">
        <f>0.5*'Standardized Data'!D76</f>
        <v>0.2</v>
      </c>
      <c r="E76" s="24">
        <f>4*'Standardized Data'!E76</f>
        <v>2.072</v>
      </c>
      <c r="F76" s="24">
        <f>4*'Standardized Data'!F76</f>
        <v>2.774192</v>
      </c>
      <c r="G76" s="24">
        <f>2*'Standardized Data'!G76</f>
        <v>0.376</v>
      </c>
      <c r="H76" s="24">
        <f>2*'Standardized Data'!H76</f>
        <v>1.039627157</v>
      </c>
      <c r="I76" s="24">
        <f>1*'Standardized Data'!I76</f>
        <v>0.6719129213</v>
      </c>
      <c r="J76" s="24">
        <f>1*'Standardized Data'!J76</f>
        <v>0.3474837568</v>
      </c>
      <c r="K76" s="24">
        <f>0.25*'Standardized Data'!K76</f>
        <v>0.1656275874</v>
      </c>
      <c r="L76" s="24">
        <f>0.25*'Standardized Data'!L76</f>
        <v>0.1225519045</v>
      </c>
      <c r="M76" s="24">
        <f>0.25*'Standardized Data'!M76</f>
        <v>0.2119384987</v>
      </c>
      <c r="N76" s="24">
        <f>0.25*'Standardized Data'!N76</f>
        <v>0.1790470367</v>
      </c>
      <c r="O76" s="24">
        <f>1*'Standardized Data'!O76</f>
        <v>0.4741205957</v>
      </c>
      <c r="P76" s="24">
        <f>1*'Standardized Data'!P76</f>
        <v>0.6679970453</v>
      </c>
      <c r="Q76" s="24">
        <f>1*'Standardized Data'!Q76</f>
        <v>0.7779111799</v>
      </c>
      <c r="R76" s="24">
        <f>1*'Standardized Data'!R76</f>
        <v>0.7969670002</v>
      </c>
      <c r="S76" s="24">
        <f>0.25*'Standardized Data'!S76</f>
        <v>0.2226392812</v>
      </c>
      <c r="T76" s="24">
        <f>0.25*'Standardized Data'!T76</f>
        <v>0.06450949577</v>
      </c>
      <c r="U76" s="24">
        <f>0.25*'Standardized Data'!U76</f>
        <v>0.05477471682</v>
      </c>
      <c r="V76" s="24"/>
      <c r="W76" s="24"/>
      <c r="X76" s="24"/>
      <c r="Y76" s="24"/>
      <c r="Z76" s="24"/>
      <c r="AA76" s="24"/>
      <c r="AB76" s="24"/>
    </row>
    <row r="77">
      <c r="A77" s="24" t="s">
        <v>142</v>
      </c>
      <c r="B77" s="25">
        <v>175119.0</v>
      </c>
      <c r="C77" s="24">
        <f>0.5*'Standardized Data'!C77</f>
        <v>0.313161715</v>
      </c>
      <c r="D77" s="24">
        <f>0.5*'Standardized Data'!D77</f>
        <v>0.3</v>
      </c>
      <c r="E77" s="24">
        <f>4*'Standardized Data'!E77</f>
        <v>2.436</v>
      </c>
      <c r="F77" s="24">
        <f>4*'Standardized Data'!F77</f>
        <v>1.741936</v>
      </c>
      <c r="G77" s="24">
        <f>2*'Standardized Data'!G77</f>
        <v>0.96</v>
      </c>
      <c r="H77" s="24">
        <f>2*'Standardized Data'!H77</f>
        <v>0.7796958189</v>
      </c>
      <c r="I77" s="24">
        <f>1*'Standardized Data'!I77</f>
        <v>0.7710053425</v>
      </c>
      <c r="J77" s="24">
        <f>1*'Standardized Data'!J77</f>
        <v>0.6557537988</v>
      </c>
      <c r="K77" s="24">
        <f>0.25*'Standardized Data'!K77</f>
        <v>0.08447981053</v>
      </c>
      <c r="L77" s="24">
        <f>0.25*'Standardized Data'!L77</f>
        <v>0.08334847255</v>
      </c>
      <c r="M77" s="24">
        <f>0.25*'Standardized Data'!M77</f>
        <v>0.2290405307</v>
      </c>
      <c r="N77" s="24">
        <f>0.25*'Standardized Data'!N77</f>
        <v>0.1047645138</v>
      </c>
      <c r="O77" s="24">
        <f>1*'Standardized Data'!O77</f>
        <v>0.5396716133</v>
      </c>
      <c r="P77" s="24">
        <f>1*'Standardized Data'!P77</f>
        <v>0.3451292866</v>
      </c>
      <c r="Q77" s="24">
        <f>1*'Standardized Data'!Q77</f>
        <v>0.1996638743</v>
      </c>
      <c r="R77" s="24">
        <f>1*'Standardized Data'!R77</f>
        <v>0.9445683157</v>
      </c>
      <c r="S77" s="24">
        <f>0.25*'Standardized Data'!S77</f>
        <v>0.1622266711</v>
      </c>
      <c r="T77" s="24">
        <f>0.25*'Standardized Data'!T77</f>
        <v>0.06631648033</v>
      </c>
      <c r="U77" s="24">
        <f>0.25*'Standardized Data'!U77</f>
        <v>0.09843996863</v>
      </c>
      <c r="V77" s="24"/>
      <c r="W77" s="24"/>
      <c r="X77" s="24"/>
      <c r="Y77" s="24"/>
      <c r="Z77" s="24"/>
      <c r="AA77" s="24"/>
      <c r="AB77" s="24"/>
    </row>
    <row r="78">
      <c r="A78" s="24" t="s">
        <v>144</v>
      </c>
      <c r="B78" s="25">
        <v>20060.0</v>
      </c>
      <c r="C78" s="24">
        <f>0.5*'Standardized Data'!C78</f>
        <v>0.2105206652</v>
      </c>
      <c r="D78" s="24">
        <f>0.5*'Standardized Data'!D78</f>
        <v>0.5</v>
      </c>
      <c r="E78" s="24">
        <f>4*'Standardized Data'!E78</f>
        <v>0.984</v>
      </c>
      <c r="F78" s="24">
        <f>4*'Standardized Data'!F78</f>
        <v>2.838708</v>
      </c>
      <c r="G78" s="24">
        <f>2*'Standardized Data'!G78</f>
        <v>1.226</v>
      </c>
      <c r="H78" s="24">
        <f>2*'Standardized Data'!H78</f>
        <v>1.987561621</v>
      </c>
      <c r="I78" s="24">
        <f>1*'Standardized Data'!I78</f>
        <v>0.8252121841</v>
      </c>
      <c r="J78" s="24">
        <f>1*'Standardized Data'!J78</f>
        <v>0.6385885324</v>
      </c>
      <c r="K78" s="24">
        <f>0.25*'Standardized Data'!K78</f>
        <v>0.2196456637</v>
      </c>
      <c r="L78" s="24">
        <f>0.25*'Standardized Data'!L78</f>
        <v>0.04642369533</v>
      </c>
      <c r="M78" s="24">
        <f>0.25*'Standardized Data'!M78</f>
        <v>0.1704033366</v>
      </c>
      <c r="N78" s="24">
        <f>0.25*'Standardized Data'!N78</f>
        <v>0.1745998308</v>
      </c>
      <c r="O78" s="24">
        <f>1*'Standardized Data'!O78</f>
        <v>0.369695588</v>
      </c>
      <c r="P78" s="24">
        <f>1*'Standardized Data'!P78</f>
        <v>0.6899569827</v>
      </c>
      <c r="Q78" s="24">
        <f>1*'Standardized Data'!Q78</f>
        <v>0.555145324</v>
      </c>
      <c r="R78" s="24">
        <f>1*'Standardized Data'!R78</f>
        <v>0.4624602896</v>
      </c>
      <c r="S78" s="24">
        <f>0.25*'Standardized Data'!S78</f>
        <v>0.1079685599</v>
      </c>
      <c r="T78" s="24">
        <f>0.25*'Standardized Data'!T78</f>
        <v>0.05657169518</v>
      </c>
      <c r="U78" s="24">
        <f>0.25*'Standardized Data'!U78</f>
        <v>0.1003048178</v>
      </c>
      <c r="V78" s="24"/>
      <c r="W78" s="24"/>
      <c r="X78" s="24"/>
      <c r="Y78" s="24"/>
      <c r="Z78" s="24"/>
      <c r="AA78" s="24"/>
      <c r="AB78" s="24"/>
    </row>
    <row r="79">
      <c r="A79" s="24" t="s">
        <v>145</v>
      </c>
      <c r="B79" s="25">
        <v>147458.0</v>
      </c>
      <c r="C79" s="24">
        <f>0.5*'Standardized Data'!C79</f>
        <v>0.2825284385</v>
      </c>
      <c r="D79" s="24">
        <f>0.5*'Standardized Data'!D79</f>
        <v>0.2</v>
      </c>
      <c r="E79" s="24">
        <f>4*'Standardized Data'!E79</f>
        <v>1.652</v>
      </c>
      <c r="F79" s="24">
        <f>4*'Standardized Data'!F79</f>
        <v>3.870968</v>
      </c>
      <c r="G79" s="24">
        <f>2*'Standardized Data'!G79</f>
        <v>0.41</v>
      </c>
      <c r="H79" s="24">
        <f>2*'Standardized Data'!H79</f>
        <v>0.8379192999</v>
      </c>
      <c r="I79" s="24">
        <f>1*'Standardized Data'!I79</f>
        <v>0.3798847278</v>
      </c>
      <c r="J79" s="24">
        <f>1*'Standardized Data'!J79</f>
        <v>0.2799614433</v>
      </c>
      <c r="K79" s="24">
        <f>0.25*'Standardized Data'!K79</f>
        <v>0.1763525902</v>
      </c>
      <c r="L79" s="24">
        <f>0.25*'Standardized Data'!L79</f>
        <v>0.1075225843</v>
      </c>
      <c r="M79" s="24">
        <f>0.25*'Standardized Data'!M79</f>
        <v>0.2244918759</v>
      </c>
      <c r="N79" s="24">
        <f>0.25*'Standardized Data'!N79</f>
        <v>0.2164985129</v>
      </c>
      <c r="O79" s="24">
        <f>1*'Standardized Data'!O79</f>
        <v>0.44016491</v>
      </c>
      <c r="P79" s="24">
        <f>1*'Standardized Data'!P79</f>
        <v>0.5479430539</v>
      </c>
      <c r="Q79" s="24">
        <f>1*'Standardized Data'!Q79</f>
        <v>0.3800317182</v>
      </c>
      <c r="R79" s="24">
        <f>1*'Standardized Data'!R79</f>
        <v>0.9029042456</v>
      </c>
      <c r="S79" s="24">
        <f>0.25*'Standardized Data'!S79</f>
        <v>0.1245518443</v>
      </c>
      <c r="T79" s="24">
        <f>0.25*'Standardized Data'!T79</f>
        <v>0.05867377382</v>
      </c>
      <c r="U79" s="24">
        <f>0.25*'Standardized Data'!U79</f>
        <v>0.0885859483</v>
      </c>
      <c r="V79" s="24"/>
      <c r="W79" s="24"/>
      <c r="X79" s="24"/>
      <c r="Y79" s="24"/>
      <c r="Z79" s="24"/>
      <c r="AA79" s="24"/>
      <c r="AB79" s="24"/>
    </row>
    <row r="80">
      <c r="A80" s="24" t="s">
        <v>146</v>
      </c>
      <c r="B80" s="25">
        <v>42324.0</v>
      </c>
      <c r="C80" s="24">
        <f>0.5*'Standardized Data'!C80</f>
        <v>0.2146150193</v>
      </c>
      <c r="D80" s="24">
        <f>0.5*'Standardized Data'!D80</f>
        <v>0.4</v>
      </c>
      <c r="E80" s="24">
        <f>4*'Standardized Data'!E80</f>
        <v>2.408</v>
      </c>
      <c r="F80" s="24">
        <f>4*'Standardized Data'!F80</f>
        <v>2.580644</v>
      </c>
      <c r="G80" s="24">
        <f>2*'Standardized Data'!G80</f>
        <v>0.398</v>
      </c>
      <c r="H80" s="24">
        <f>2*'Standardized Data'!H80</f>
        <v>0.5088727187</v>
      </c>
      <c r="I80" s="24">
        <f>1*'Standardized Data'!I80</f>
        <v>0.3916670304</v>
      </c>
      <c r="J80" s="24">
        <f>1*'Standardized Data'!J80</f>
        <v>0.2324438487</v>
      </c>
      <c r="K80" s="24">
        <f>0.25*'Standardized Data'!K80</f>
        <v>0.1511031823</v>
      </c>
      <c r="L80" s="24">
        <f>0.25*'Standardized Data'!L80</f>
        <v>0.1043961258</v>
      </c>
      <c r="M80" s="24">
        <f>0.25*'Standardized Data'!M80</f>
        <v>0.1984092302</v>
      </c>
      <c r="N80" s="24">
        <f>0.25*'Standardized Data'!N80</f>
        <v>0.1920272078</v>
      </c>
      <c r="O80" s="24">
        <f>1*'Standardized Data'!O80</f>
        <v>0.854101578</v>
      </c>
      <c r="P80" s="24">
        <f>1*'Standardized Data'!P80</f>
        <v>0.6652023914</v>
      </c>
      <c r="Q80" s="24">
        <f>1*'Standardized Data'!Q80</f>
        <v>0.2896663804</v>
      </c>
      <c r="R80" s="24">
        <f>1*'Standardized Data'!R80</f>
        <v>0.7897833024</v>
      </c>
      <c r="S80" s="24">
        <f>0.25*'Standardized Data'!S80</f>
        <v>0.207171484</v>
      </c>
      <c r="T80" s="24">
        <f>0.25*'Standardized Data'!T80</f>
        <v>0.06806219924</v>
      </c>
      <c r="U80" s="24">
        <f>0.25*'Standardized Data'!U80</f>
        <v>0.09460822898</v>
      </c>
      <c r="V80" s="24"/>
      <c r="W80" s="24"/>
      <c r="X80" s="24"/>
      <c r="Y80" s="24"/>
      <c r="Z80" s="24"/>
      <c r="AA80" s="24"/>
      <c r="AB80" s="24"/>
    </row>
    <row r="81">
      <c r="A81" s="24" t="s">
        <v>147</v>
      </c>
      <c r="B81" s="25">
        <v>117365.0</v>
      </c>
      <c r="C81" s="24">
        <f>0.5*'Standardized Data'!C81</f>
        <v>0.2441221208</v>
      </c>
      <c r="D81" s="24">
        <f>0.5*'Standardized Data'!D81</f>
        <v>0.4</v>
      </c>
      <c r="E81" s="24">
        <f>4*'Standardized Data'!E81</f>
        <v>2.94</v>
      </c>
      <c r="F81" s="24">
        <f>4*'Standardized Data'!F81</f>
        <v>2.774192</v>
      </c>
      <c r="G81" s="24">
        <f>2*'Standardized Data'!G81</f>
        <v>0.214</v>
      </c>
      <c r="H81" s="24">
        <f>2*'Standardized Data'!H81</f>
        <v>0.5955852046</v>
      </c>
      <c r="I81" s="24">
        <f>1*'Standardized Data'!I81</f>
        <v>0.06955955345</v>
      </c>
      <c r="J81" s="24">
        <f>1*'Standardized Data'!J81</f>
        <v>0.1728289305</v>
      </c>
      <c r="K81" s="24">
        <f>0.25*'Standardized Data'!K81</f>
        <v>0.1111319657</v>
      </c>
      <c r="L81" s="24">
        <f>0.25*'Standardized Data'!L81</f>
        <v>0.07017340593</v>
      </c>
      <c r="M81" s="24">
        <f>0.25*'Standardized Data'!M81</f>
        <v>0.2466519863</v>
      </c>
      <c r="N81" s="24">
        <f>0.25*'Standardized Data'!N81</f>
        <v>0.1790470367</v>
      </c>
      <c r="O81" s="24">
        <f>1*'Standardized Data'!O81</f>
        <v>0.691333204</v>
      </c>
      <c r="P81" s="24">
        <f>1*'Standardized Data'!P81</f>
        <v>0.4807082312</v>
      </c>
      <c r="Q81" s="24">
        <f>1*'Standardized Data'!Q81</f>
        <v>0.403167651</v>
      </c>
      <c r="R81" s="24">
        <f>1*'Standardized Data'!R81</f>
        <v>0.5751422189</v>
      </c>
      <c r="S81" s="24">
        <f>0.25*'Standardized Data'!S81</f>
        <v>0.2323036948</v>
      </c>
      <c r="T81" s="24">
        <f>0.25*'Standardized Data'!T81</f>
        <v>0.06069339644</v>
      </c>
      <c r="U81" s="24">
        <f>0.25*'Standardized Data'!U81</f>
        <v>0.05758451609</v>
      </c>
      <c r="V81" s="24"/>
      <c r="W81" s="24"/>
      <c r="X81" s="24"/>
      <c r="Y81" s="24"/>
      <c r="Z81" s="24"/>
      <c r="AA81" s="24"/>
      <c r="AB81" s="24"/>
    </row>
    <row r="82">
      <c r="A82" s="24" t="s">
        <v>148</v>
      </c>
      <c r="B82" s="25">
        <v>92518.0</v>
      </c>
      <c r="C82" s="24">
        <f>0.5*'Standardized Data'!C82</f>
        <v>0.2693007608</v>
      </c>
      <c r="D82" s="24">
        <f>0.5*'Standardized Data'!D82</f>
        <v>0.2</v>
      </c>
      <c r="E82" s="24">
        <f>4*'Standardized Data'!E82</f>
        <v>1.856</v>
      </c>
      <c r="F82" s="24">
        <f>4*'Standardized Data'!F82</f>
        <v>3.096776</v>
      </c>
      <c r="G82" s="24">
        <f>2*'Standardized Data'!G82</f>
        <v>0.376</v>
      </c>
      <c r="H82" s="24">
        <f>2*'Standardized Data'!H82</f>
        <v>0.4562245368</v>
      </c>
      <c r="I82" s="24">
        <f>1*'Standardized Data'!I82</f>
        <v>0.4034213796</v>
      </c>
      <c r="J82" s="24">
        <f>1*'Standardized Data'!J82</f>
        <v>0.2288941341</v>
      </c>
      <c r="K82" s="24">
        <f>0.25*'Standardized Data'!K82</f>
        <v>0.1729818756</v>
      </c>
      <c r="L82" s="24">
        <f>0.25*'Standardized Data'!L82</f>
        <v>0.1087890253</v>
      </c>
      <c r="M82" s="24">
        <f>0.25*'Standardized Data'!M82</f>
        <v>0.2186425384</v>
      </c>
      <c r="N82" s="24">
        <f>0.25*'Standardized Data'!N82</f>
        <v>0.1962387931</v>
      </c>
      <c r="O82" s="24">
        <f>1*'Standardized Data'!O82</f>
        <v>0.6023082705</v>
      </c>
      <c r="P82" s="24">
        <f>1*'Standardized Data'!P82</f>
        <v>0.5814893299</v>
      </c>
      <c r="Q82" s="24">
        <f>1*'Standardized Data'!Q82</f>
        <v>0.4974078438</v>
      </c>
      <c r="R82" s="24">
        <f>1*'Standardized Data'!R82</f>
        <v>0.8040257578</v>
      </c>
      <c r="S82" s="24">
        <f>0.25*'Standardized Data'!S82</f>
        <v>0.1934671578</v>
      </c>
      <c r="T82" s="24">
        <f>0.25*'Standardized Data'!T82</f>
        <v>0.1455128239</v>
      </c>
      <c r="U82" s="24">
        <f>0.25*'Standardized Data'!U82</f>
        <v>0.09654151676</v>
      </c>
      <c r="V82" s="24"/>
      <c r="W82" s="24"/>
      <c r="X82" s="24"/>
      <c r="Y82" s="24"/>
      <c r="Z82" s="24"/>
      <c r="AA82" s="24"/>
      <c r="AB82" s="24"/>
    </row>
    <row r="83">
      <c r="A83" s="24" t="s">
        <v>149</v>
      </c>
      <c r="B83" s="25">
        <v>151661.0</v>
      </c>
      <c r="C83" s="24">
        <f>0.5*'Standardized Data'!C83</f>
        <v>0.3228673259</v>
      </c>
      <c r="D83" s="24">
        <f>0.5*'Standardized Data'!D83</f>
        <v>0.1</v>
      </c>
      <c r="E83" s="24">
        <f>4*'Standardized Data'!E83</f>
        <v>1.992</v>
      </c>
      <c r="F83" s="24">
        <f>4*'Standardized Data'!F83</f>
        <v>3.161292</v>
      </c>
      <c r="G83" s="24">
        <f>2*'Standardized Data'!G83</f>
        <v>0.42</v>
      </c>
      <c r="H83" s="24">
        <f>2*'Standardized Data'!H83</f>
        <v>0.8389674809</v>
      </c>
      <c r="I83" s="24">
        <f>1*'Standardized Data'!I83</f>
        <v>0.6159929608</v>
      </c>
      <c r="J83" s="24">
        <f>1*'Standardized Data'!J83</f>
        <v>0.3947051607</v>
      </c>
      <c r="K83" s="24">
        <f>0.25*'Standardized Data'!K83</f>
        <v>0.174187005</v>
      </c>
      <c r="L83" s="24">
        <f>0.25*'Standardized Data'!L83</f>
        <v>0.1239058706</v>
      </c>
      <c r="M83" s="24">
        <f>0.25*'Standardized Data'!M83</f>
        <v>0.2173301636</v>
      </c>
      <c r="N83" s="24">
        <f>0.25*'Standardized Data'!N83</f>
        <v>0.1962387931</v>
      </c>
      <c r="O83" s="24">
        <f>1*'Standardized Data'!O83</f>
        <v>0.44016491</v>
      </c>
      <c r="P83" s="24">
        <f>1*'Standardized Data'!P83</f>
        <v>0.441560412</v>
      </c>
      <c r="Q83" s="24">
        <f>1*'Standardized Data'!Q83</f>
        <v>0.4371642196</v>
      </c>
      <c r="R83" s="24">
        <f>1*'Standardized Data'!R83</f>
        <v>0.7518240375</v>
      </c>
      <c r="S83" s="24">
        <f>0.25*'Standardized Data'!S83</f>
        <v>0.1405337879</v>
      </c>
      <c r="T83" s="24">
        <f>0.25*'Standardized Data'!T83</f>
        <v>0.06263678844</v>
      </c>
      <c r="U83" s="24">
        <f>0.25*'Standardized Data'!U83</f>
        <v>0.09460822898</v>
      </c>
      <c r="V83" s="24"/>
      <c r="W83" s="24"/>
      <c r="X83" s="24"/>
      <c r="Y83" s="24"/>
      <c r="Z83" s="24"/>
      <c r="AA83" s="24"/>
      <c r="AB83" s="24"/>
    </row>
    <row r="84">
      <c r="A84" s="24" t="s">
        <v>150</v>
      </c>
      <c r="B84" s="25">
        <v>65507.0</v>
      </c>
      <c r="C84" s="24">
        <f>0.5*'Standardized Data'!C84</f>
        <v>0.2390551877</v>
      </c>
      <c r="D84" s="24">
        <f>0.5*'Standardized Data'!D84</f>
        <v>0.4</v>
      </c>
      <c r="E84" s="24">
        <f>4*'Standardized Data'!E84</f>
        <v>1.344</v>
      </c>
      <c r="F84" s="24">
        <f>4*'Standardized Data'!F84</f>
        <v>3.548388</v>
      </c>
      <c r="G84" s="24">
        <f>2*'Standardized Data'!G84</f>
        <v>0.278</v>
      </c>
      <c r="H84" s="24">
        <f>2*'Standardized Data'!H84</f>
        <v>1.065704047</v>
      </c>
      <c r="I84" s="24">
        <f>1*'Standardized Data'!I84</f>
        <v>0.5309114899</v>
      </c>
      <c r="J84" s="24">
        <f>1*'Standardized Data'!J84</f>
        <v>0.3729669329</v>
      </c>
      <c r="K84" s="24">
        <f>0.25*'Standardized Data'!K84</f>
        <v>0.2281791156</v>
      </c>
      <c r="L84" s="24">
        <f>0.25*'Standardized Data'!L84</f>
        <v>0.06905732997</v>
      </c>
      <c r="M84" s="24">
        <f>0.25*'Standardized Data'!M84</f>
        <v>0.2013939756</v>
      </c>
      <c r="N84" s="24">
        <f>0.25*'Standardized Data'!N84</f>
        <v>0.1962387931</v>
      </c>
      <c r="O84" s="24">
        <f>1*'Standardized Data'!O84</f>
        <v>0.44016491</v>
      </c>
      <c r="P84" s="24">
        <f>1*'Standardized Data'!P84</f>
        <v>0.5553259566</v>
      </c>
      <c r="Q84" s="24">
        <f>1*'Standardized Data'!Q84</f>
        <v>0.492037919</v>
      </c>
      <c r="R84" s="24">
        <f>1*'Standardized Data'!R84</f>
        <v>0.8439794658</v>
      </c>
      <c r="S84" s="24">
        <f>0.25*'Standardized Data'!S84</f>
        <v>0.1805192125</v>
      </c>
      <c r="T84" s="24">
        <f>0.25*'Standardized Data'!T84</f>
        <v>0.07745062466</v>
      </c>
      <c r="U84" s="24">
        <f>0.25*'Standardized Data'!U84</f>
        <v>0.1125090001</v>
      </c>
      <c r="V84" s="24"/>
      <c r="W84" s="24"/>
      <c r="X84" s="24"/>
      <c r="Y84" s="24"/>
      <c r="Z84" s="24"/>
      <c r="AA84" s="24"/>
      <c r="AB84" s="24"/>
    </row>
    <row r="85">
      <c r="A85" s="24" t="s">
        <v>151</v>
      </c>
      <c r="B85" s="25">
        <v>59601.0</v>
      </c>
      <c r="C85" s="24">
        <f>0.5*'Standardized Data'!C85</f>
        <v>0.1875170418</v>
      </c>
      <c r="D85" s="24">
        <f>0.5*'Standardized Data'!D85</f>
        <v>0.5</v>
      </c>
      <c r="E85" s="24">
        <f>4*'Standardized Data'!E85</f>
        <v>2.584</v>
      </c>
      <c r="F85" s="24">
        <f>4*'Standardized Data'!F85</f>
        <v>2.838708</v>
      </c>
      <c r="G85" s="24">
        <f>2*'Standardized Data'!G85</f>
        <v>0.418</v>
      </c>
      <c r="H85" s="24">
        <f>2*'Standardized Data'!H85</f>
        <v>0.8176879873</v>
      </c>
      <c r="I85" s="24">
        <f>1*'Standardized Data'!I85</f>
        <v>0.3975476909</v>
      </c>
      <c r="J85" s="24">
        <f>1*'Standardized Data'!J85</f>
        <v>0.2181111754</v>
      </c>
      <c r="K85" s="24">
        <f>0.25*'Standardized Data'!K85</f>
        <v>0.1090037343</v>
      </c>
      <c r="L85" s="24">
        <f>0.25*'Standardized Data'!L85</f>
        <v>0.07154520708</v>
      </c>
      <c r="M85" s="24">
        <f>0.25*'Standardized Data'!M85</f>
        <v>0.25</v>
      </c>
      <c r="N85" s="24">
        <f>0.25*'Standardized Data'!N85</f>
        <v>0.1513800259</v>
      </c>
      <c r="O85" s="24">
        <f>1*'Standardized Data'!O85</f>
        <v>0.44016491</v>
      </c>
      <c r="P85" s="24">
        <f>1*'Standardized Data'!P85</f>
        <v>0.6551233635</v>
      </c>
      <c r="Q85" s="24">
        <f>1*'Standardized Data'!Q85</f>
        <v>0.4538552884</v>
      </c>
      <c r="R85" s="24">
        <f>1*'Standardized Data'!R85</f>
        <v>0.3916957715</v>
      </c>
      <c r="S85" s="24">
        <f>0.25*'Standardized Data'!S85</f>
        <v>0.1969333905</v>
      </c>
      <c r="T85" s="24">
        <f>0.25*'Standardized Data'!T85</f>
        <v>0.05867377382</v>
      </c>
      <c r="U85" s="24">
        <f>0.25*'Standardized Data'!U85</f>
        <v>0.07771433046</v>
      </c>
      <c r="V85" s="24"/>
      <c r="W85" s="24"/>
      <c r="X85" s="24"/>
      <c r="Y85" s="24"/>
      <c r="Z85" s="24"/>
      <c r="AA85" s="24"/>
      <c r="AB85" s="24"/>
    </row>
    <row r="86">
      <c r="A86" s="24" t="s">
        <v>152</v>
      </c>
      <c r="B86" s="25">
        <v>34376.0</v>
      </c>
      <c r="C86" s="24">
        <f>0.5*'Standardized Data'!C86</f>
        <v>0.2297291536</v>
      </c>
      <c r="D86" s="24">
        <f>0.5*'Standardized Data'!D86</f>
        <v>0.4</v>
      </c>
      <c r="E86" s="24">
        <f>4*'Standardized Data'!E86</f>
        <v>2.656</v>
      </c>
      <c r="F86" s="24">
        <f>4*'Standardized Data'!F86</f>
        <v>2.193548</v>
      </c>
      <c r="G86" s="24">
        <f>2*'Standardized Data'!G86</f>
        <v>0.212</v>
      </c>
      <c r="H86" s="24">
        <f>2*'Standardized Data'!H86</f>
        <v>0.4368979758</v>
      </c>
      <c r="I86" s="24">
        <f>1*'Standardized Data'!I86</f>
        <v>0.2846037932</v>
      </c>
      <c r="J86" s="24">
        <f>1*'Standardized Data'!J86</f>
        <v>0.1806287389</v>
      </c>
      <c r="K86" s="24">
        <f>0.25*'Standardized Data'!K86</f>
        <v>0.1397902658</v>
      </c>
      <c r="L86" s="24">
        <f>0.25*'Standardized Data'!L86</f>
        <v>0.06522417707</v>
      </c>
      <c r="M86" s="24">
        <f>0.25*'Standardized Data'!M86</f>
        <v>0.1943533848</v>
      </c>
      <c r="N86" s="24">
        <f>0.25*'Standardized Data'!N86</f>
        <v>0.1790470367</v>
      </c>
      <c r="O86" s="24">
        <f>1*'Standardized Data'!O86</f>
        <v>0.854101578</v>
      </c>
      <c r="P86" s="24">
        <f>1*'Standardized Data'!P86</f>
        <v>0.6374161204</v>
      </c>
      <c r="Q86" s="24">
        <f>1*'Standardized Data'!Q86</f>
        <v>0.2708653187</v>
      </c>
      <c r="R86" s="24">
        <f>1*'Standardized Data'!R86</f>
        <v>0.7099448238</v>
      </c>
      <c r="S86" s="24">
        <f>0.25*'Standardized Data'!S86</f>
        <v>0.2248053149</v>
      </c>
      <c r="T86" s="24">
        <f>0.25*'Standardized Data'!T86</f>
        <v>0.05867377382</v>
      </c>
      <c r="U86" s="24">
        <f>0.25*'Standardized Data'!U86</f>
        <v>0.1125090001</v>
      </c>
      <c r="V86" s="24"/>
      <c r="W86" s="24"/>
      <c r="X86" s="24"/>
      <c r="Y86" s="24"/>
      <c r="Z86" s="24"/>
      <c r="AA86" s="24"/>
      <c r="AB86" s="24"/>
    </row>
    <row r="87">
      <c r="A87" s="24" t="s">
        <v>153</v>
      </c>
      <c r="B87" s="25">
        <v>65699.0</v>
      </c>
      <c r="C87" s="24">
        <f>0.5*'Standardized Data'!C87</f>
        <v>0.2706804861</v>
      </c>
      <c r="D87" s="24">
        <f>0.5*'Standardized Data'!D87</f>
        <v>0.4</v>
      </c>
      <c r="E87" s="24">
        <f>4*'Standardized Data'!E87</f>
        <v>1.512</v>
      </c>
      <c r="F87" s="24">
        <f>4*'Standardized Data'!F87</f>
        <v>3.67742</v>
      </c>
      <c r="G87" s="24">
        <f>2*'Standardized Data'!G87</f>
        <v>0.512</v>
      </c>
      <c r="H87" s="24">
        <f>2*'Standardized Data'!H87</f>
        <v>0.9400942022</v>
      </c>
      <c r="I87" s="24">
        <f>1*'Standardized Data'!I87</f>
        <v>0.5594346308</v>
      </c>
      <c r="J87" s="24">
        <f>1*'Standardized Data'!J87</f>
        <v>0.3445810819</v>
      </c>
      <c r="K87" s="24">
        <f>0.25*'Standardized Data'!K87</f>
        <v>0.1663269831</v>
      </c>
      <c r="L87" s="24">
        <f>0.25*'Standardized Data'!L87</f>
        <v>0.1173675964</v>
      </c>
      <c r="M87" s="24">
        <f>0.25*'Standardized Data'!M87</f>
        <v>0.2186042964</v>
      </c>
      <c r="N87" s="24">
        <f>0.25*'Standardized Data'!N87</f>
        <v>0.2164985129</v>
      </c>
      <c r="O87" s="24">
        <f>1*'Standardized Data'!O87</f>
        <v>0.1763664797</v>
      </c>
      <c r="P87" s="24">
        <f>1*'Standardized Data'!P87</f>
        <v>0.5437114549</v>
      </c>
      <c r="Q87" s="24">
        <f>1*'Standardized Data'!Q87</f>
        <v>0.5186821887</v>
      </c>
      <c r="R87" s="24">
        <f>1*'Standardized Data'!R87</f>
        <v>0.7969670002</v>
      </c>
      <c r="S87" s="24">
        <f>0.25*'Standardized Data'!S87</f>
        <v>0.1470256134</v>
      </c>
      <c r="T87" s="24">
        <f>0.25*'Standardized Data'!T87</f>
        <v>0.06806219924</v>
      </c>
      <c r="U87" s="24">
        <f>0.25*'Standardized Data'!U87</f>
        <v>0.1057091423</v>
      </c>
      <c r="V87" s="24"/>
      <c r="W87" s="24"/>
      <c r="X87" s="24"/>
      <c r="Y87" s="24"/>
      <c r="Z87" s="24"/>
      <c r="AA87" s="24"/>
      <c r="AB87" s="24"/>
    </row>
    <row r="88">
      <c r="A88" s="24" t="s">
        <v>154</v>
      </c>
      <c r="B88" s="25">
        <v>45532.0</v>
      </c>
      <c r="C88" s="24">
        <f>0.5*'Standardized Data'!C88</f>
        <v>0.2282873217</v>
      </c>
      <c r="D88" s="24">
        <f>0.5*'Standardized Data'!D88</f>
        <v>0.2</v>
      </c>
      <c r="E88" s="24">
        <f>4*'Standardized Data'!E88</f>
        <v>0.82</v>
      </c>
      <c r="F88" s="24">
        <f>4*'Standardized Data'!F88</f>
        <v>3.935484</v>
      </c>
      <c r="G88" s="24">
        <f>2*'Standardized Data'!G88</f>
        <v>0.408</v>
      </c>
      <c r="H88" s="24">
        <f>2*'Standardized Data'!H88</f>
        <v>0.9495832902</v>
      </c>
      <c r="I88" s="24">
        <f>1*'Standardized Data'!I88</f>
        <v>0.7161988555</v>
      </c>
      <c r="J88" s="24">
        <f>1*'Standardized Data'!J88</f>
        <v>0.3085518199</v>
      </c>
      <c r="K88" s="24">
        <f>0.25*'Standardized Data'!K88</f>
        <v>0.2101654664</v>
      </c>
      <c r="L88" s="24">
        <f>0.25*'Standardized Data'!L88</f>
        <v>0.1072785328</v>
      </c>
      <c r="M88" s="24">
        <f>0.25*'Standardized Data'!M88</f>
        <v>0.2092310552</v>
      </c>
      <c r="N88" s="24">
        <f>0.25*'Standardized Data'!N88</f>
        <v>0.1920272078</v>
      </c>
      <c r="O88" s="24">
        <f>1*'Standardized Data'!O88</f>
        <v>0.44016491</v>
      </c>
      <c r="P88" s="24">
        <f>1*'Standardized Data'!P88</f>
        <v>0.6967809527</v>
      </c>
      <c r="Q88" s="24">
        <f>1*'Standardized Data'!Q88</f>
        <v>0.6591176151</v>
      </c>
      <c r="R88" s="24">
        <f>1*'Standardized Data'!R88</f>
        <v>0.5872585912</v>
      </c>
      <c r="S88" s="24">
        <f>0.25*'Standardized Data'!S88</f>
        <v>0.1352705971</v>
      </c>
      <c r="T88" s="24">
        <f>0.25*'Standardized Data'!T88</f>
        <v>0.04454198435</v>
      </c>
      <c r="U88" s="24">
        <f>0.25*'Standardized Data'!U88</f>
        <v>0.06298884057</v>
      </c>
      <c r="V88" s="24"/>
      <c r="W88" s="24"/>
      <c r="X88" s="24"/>
      <c r="Y88" s="24"/>
      <c r="Z88" s="24"/>
      <c r="AA88" s="24"/>
      <c r="AB88" s="24"/>
    </row>
    <row r="89">
      <c r="A89" s="24" t="s">
        <v>155</v>
      </c>
      <c r="B89" s="25">
        <v>71462.0</v>
      </c>
      <c r="C89" s="24">
        <f>0.5*'Standardized Data'!C89</f>
        <v>0.2524196493</v>
      </c>
      <c r="D89" s="24">
        <f>0.5*'Standardized Data'!D89</f>
        <v>0.4</v>
      </c>
      <c r="E89" s="24">
        <f>4*'Standardized Data'!E89</f>
        <v>1.312</v>
      </c>
      <c r="F89" s="24">
        <f>4*'Standardized Data'!F89</f>
        <v>3.67742</v>
      </c>
      <c r="G89" s="24">
        <f>2*'Standardized Data'!G89</f>
        <v>0.522</v>
      </c>
      <c r="H89" s="24">
        <f>2*'Standardized Data'!H89</f>
        <v>0.8841392135</v>
      </c>
      <c r="I89" s="24">
        <f>1*'Standardized Data'!I89</f>
        <v>0.2966146013</v>
      </c>
      <c r="J89" s="24">
        <f>1*'Standardized Data'!J89</f>
        <v>0.3357838187</v>
      </c>
      <c r="K89" s="24">
        <f>0.25*'Standardized Data'!K89</f>
        <v>0.2237092023</v>
      </c>
      <c r="L89" s="24">
        <f>0.25*'Standardized Data'!L89</f>
        <v>0.09367569645</v>
      </c>
      <c r="M89" s="24">
        <f>0.25*'Standardized Data'!M89</f>
        <v>0.2176035065</v>
      </c>
      <c r="N89" s="24">
        <f>0.25*'Standardized Data'!N89</f>
        <v>0.1962387931</v>
      </c>
      <c r="O89" s="24">
        <f>1*'Standardized Data'!O89</f>
        <v>0.2955156838</v>
      </c>
      <c r="P89" s="24">
        <f>1*'Standardized Data'!P89</f>
        <v>0.4778170374</v>
      </c>
      <c r="Q89" s="24">
        <f>1*'Standardized Data'!Q89</f>
        <v>0.4371642196</v>
      </c>
      <c r="R89" s="24">
        <f>1*'Standardized Data'!R89</f>
        <v>0.7674362826</v>
      </c>
      <c r="S89" s="24">
        <f>0.25*'Standardized Data'!S89</f>
        <v>0.1634700767</v>
      </c>
      <c r="T89" s="24">
        <f>0.25*'Standardized Data'!T89</f>
        <v>0.07599999983</v>
      </c>
      <c r="U89" s="24">
        <f>0.25*'Standardized Data'!U89</f>
        <v>0.1204346322</v>
      </c>
      <c r="V89" s="24"/>
      <c r="W89" s="24"/>
      <c r="X89" s="24"/>
      <c r="Y89" s="24"/>
      <c r="Z89" s="24"/>
      <c r="AA89" s="24"/>
      <c r="AB89" s="24"/>
    </row>
    <row r="90">
      <c r="A90" s="24" t="s">
        <v>156</v>
      </c>
      <c r="B90" s="25">
        <v>13916.0</v>
      </c>
      <c r="C90" s="24">
        <f>0.5*'Standardized Data'!C90</f>
        <v>0.1086532177</v>
      </c>
      <c r="D90" s="24">
        <f>0.5*'Standardized Data'!D90</f>
        <v>0.5</v>
      </c>
      <c r="E90" s="24">
        <f>4*'Standardized Data'!E90</f>
        <v>2.192</v>
      </c>
      <c r="F90" s="24">
        <f>4*'Standardized Data'!F90</f>
        <v>2.709676</v>
      </c>
      <c r="G90" s="24">
        <f>2*'Standardized Data'!G90</f>
        <v>0.806</v>
      </c>
      <c r="H90" s="24">
        <f>2*'Standardized Data'!H90</f>
        <v>1.252729647</v>
      </c>
      <c r="I90" s="24">
        <f>1*'Standardized Data'!I90</f>
        <v>0.5594346308</v>
      </c>
      <c r="J90" s="24">
        <f>1*'Standardized Data'!J90</f>
        <v>0.3893473921</v>
      </c>
      <c r="K90" s="24">
        <f>0.25*'Standardized Data'!K90</f>
        <v>0.2497488216</v>
      </c>
      <c r="L90" s="24">
        <f>0.25*'Standardized Data'!L90</f>
        <v>0.1245697181</v>
      </c>
      <c r="M90" s="24">
        <f>0.25*'Standardized Data'!M90</f>
        <v>0.1126064099</v>
      </c>
      <c r="N90" s="24">
        <f>0.25*'Standardized Data'!N90</f>
        <v>0.1263300673</v>
      </c>
      <c r="O90" s="24">
        <f>1*'Standardized Data'!O90</f>
        <v>0.2172126083</v>
      </c>
      <c r="P90" s="24">
        <f>1*'Standardized Data'!P90</f>
        <v>0.9590500591</v>
      </c>
      <c r="Q90" s="24">
        <f>1*'Standardized Data'!Q90</f>
        <v>0</v>
      </c>
      <c r="R90" s="24">
        <f>1*'Standardized Data'!R90</f>
        <v>0.6825725438</v>
      </c>
      <c r="S90" s="24">
        <f>0.25*'Standardized Data'!S90</f>
        <v>0.1781236251</v>
      </c>
      <c r="T90" s="24">
        <f>0.25*'Standardized Data'!T90</f>
        <v>0.06450949577</v>
      </c>
      <c r="U90" s="24">
        <f>0.25*'Standardized Data'!U90</f>
        <v>0.1495936683</v>
      </c>
      <c r="V90" s="24"/>
      <c r="W90" s="24"/>
      <c r="X90" s="24"/>
      <c r="Y90" s="24"/>
      <c r="Z90" s="24"/>
      <c r="AA90" s="24"/>
      <c r="AB90" s="24"/>
    </row>
    <row r="91">
      <c r="A91" s="24" t="s">
        <v>157</v>
      </c>
      <c r="B91" s="25">
        <v>33549.0</v>
      </c>
      <c r="C91" s="24">
        <f>0.5*'Standardized Data'!C91</f>
        <v>0.2160039005</v>
      </c>
      <c r="D91" s="24">
        <f>0.5*'Standardized Data'!D91</f>
        <v>0.4</v>
      </c>
      <c r="E91" s="24">
        <f>4*'Standardized Data'!E91</f>
        <v>0.984</v>
      </c>
      <c r="F91" s="24">
        <f>4*'Standardized Data'!F91</f>
        <v>2.451612</v>
      </c>
      <c r="G91" s="24">
        <f>2*'Standardized Data'!G91</f>
        <v>0.948</v>
      </c>
      <c r="H91" s="24">
        <f>2*'Standardized Data'!H91</f>
        <v>1.763823643</v>
      </c>
      <c r="I91" s="24">
        <f>1*'Standardized Data'!I91</f>
        <v>0.9265993108</v>
      </c>
      <c r="J91" s="24">
        <f>1*'Standardized Data'!J91</f>
        <v>0.7301865238</v>
      </c>
      <c r="K91" s="24">
        <f>0.25*'Standardized Data'!K91</f>
        <v>0.245489378</v>
      </c>
      <c r="L91" s="24">
        <f>0.25*'Standardized Data'!L91</f>
        <v>0.07327445683</v>
      </c>
      <c r="M91" s="24">
        <f>0.25*'Standardized Data'!M91</f>
        <v>0.1469457449</v>
      </c>
      <c r="N91" s="24">
        <f>0.25*'Standardized Data'!N91</f>
        <v>0.1102945669</v>
      </c>
      <c r="O91" s="24">
        <f>1*'Standardized Data'!O91</f>
        <v>0.2955156838</v>
      </c>
      <c r="P91" s="24">
        <f>1*'Standardized Data'!P91</f>
        <v>0.5663879396</v>
      </c>
      <c r="Q91" s="24">
        <f>1*'Standardized Data'!Q91</f>
        <v>0.4593746747</v>
      </c>
      <c r="R91" s="24">
        <f>1*'Standardized Data'!R91</f>
        <v>0.8861072971</v>
      </c>
      <c r="S91" s="24">
        <f>0.25*'Standardized Data'!S91</f>
        <v>0.1149542368</v>
      </c>
      <c r="T91" s="24">
        <f>0.25*'Standardized Data'!T91</f>
        <v>0.06069339644</v>
      </c>
      <c r="U91" s="24">
        <f>0.25*'Standardized Data'!U91</f>
        <v>0.09654151676</v>
      </c>
      <c r="V91" s="24"/>
      <c r="W91" s="24"/>
      <c r="X91" s="24"/>
      <c r="Y91" s="24"/>
      <c r="Z91" s="24"/>
      <c r="AA91" s="24"/>
      <c r="AB91" s="24"/>
    </row>
    <row r="92">
      <c r="A92" s="24" t="s">
        <v>158</v>
      </c>
      <c r="B92" s="25">
        <v>3461.0</v>
      </c>
      <c r="C92" s="24">
        <f>0.5*'Standardized Data'!C92</f>
        <v>0.01495809661</v>
      </c>
      <c r="D92" s="24">
        <f>0.5*'Standardized Data'!D92</f>
        <v>0.5</v>
      </c>
      <c r="E92" s="24">
        <f>4*'Standardized Data'!E92</f>
        <v>2.296</v>
      </c>
      <c r="F92" s="24">
        <f>4*'Standardized Data'!F92</f>
        <v>2.64516</v>
      </c>
      <c r="G92" s="24">
        <f>2*'Standardized Data'!G92</f>
        <v>0.376</v>
      </c>
      <c r="H92" s="24">
        <f>2*'Standardized Data'!H92</f>
        <v>1.088514349</v>
      </c>
      <c r="I92" s="24">
        <f>1*'Standardized Data'!I92</f>
        <v>0.169024995</v>
      </c>
      <c r="J92" s="24">
        <f>1*'Standardized Data'!J92</f>
        <v>0.1767420998</v>
      </c>
      <c r="K92" s="24">
        <f>0.25*'Standardized Data'!K92</f>
        <v>0</v>
      </c>
      <c r="L92" s="24">
        <f>0.25*'Standardized Data'!L92</f>
        <v>0.2016340294</v>
      </c>
      <c r="M92" s="24">
        <f>0.25*'Standardized Data'!M92</f>
        <v>0.2014585534</v>
      </c>
      <c r="N92" s="24">
        <f>0.25*'Standardized Data'!N92</f>
        <v>0.08162921923</v>
      </c>
      <c r="O92" s="24">
        <f>1*'Standardized Data'!O92</f>
        <v>0.5072772494</v>
      </c>
      <c r="P92" s="24">
        <f>1*'Standardized Data'!P92</f>
        <v>1</v>
      </c>
      <c r="Q92" s="24">
        <f>1*'Standardized Data'!Q92</f>
        <v>0.7106222151</v>
      </c>
      <c r="R92" s="24">
        <f>1*'Standardized Data'!R92</f>
        <v>0.3291308926</v>
      </c>
      <c r="S92" s="24">
        <f>0.25*'Standardized Data'!S92</f>
        <v>0.1817121415</v>
      </c>
      <c r="T92" s="24">
        <f>0.25*'Standardized Data'!T92</f>
        <v>0.07599999983</v>
      </c>
      <c r="U92" s="24">
        <f>0.25*'Standardized Data'!U92</f>
        <v>0.07539860585</v>
      </c>
      <c r="V92" s="24"/>
      <c r="W92" s="24"/>
      <c r="X92" s="24"/>
      <c r="Y92" s="24"/>
      <c r="Z92" s="24"/>
      <c r="AA92" s="24"/>
      <c r="AB92" s="24"/>
    </row>
    <row r="93">
      <c r="A93" s="24" t="s">
        <v>159</v>
      </c>
      <c r="B93" s="25">
        <v>256452.0</v>
      </c>
      <c r="C93" s="24">
        <f>0.5*'Standardized Data'!C93</f>
        <v>0.3542919201</v>
      </c>
      <c r="D93" s="24">
        <f>0.5*'Standardized Data'!D93</f>
        <v>0.1</v>
      </c>
      <c r="E93" s="24">
        <f>4*'Standardized Data'!E93</f>
        <v>2.044</v>
      </c>
      <c r="F93" s="24">
        <f>4*'Standardized Data'!F93</f>
        <v>2.774192</v>
      </c>
      <c r="G93" s="24">
        <f>2*'Standardized Data'!G93</f>
        <v>1.292</v>
      </c>
      <c r="H93" s="24">
        <f>2*'Standardized Data'!H93</f>
        <v>1.395166096</v>
      </c>
      <c r="I93" s="24">
        <f>1*'Standardized Data'!I93</f>
        <v>0.7436778827</v>
      </c>
      <c r="J93" s="24">
        <f>1*'Standardized Data'!J93</f>
        <v>0.7360966491</v>
      </c>
      <c r="K93" s="24">
        <f>0.25*'Standardized Data'!K93</f>
        <v>0.1606929376</v>
      </c>
      <c r="L93" s="24">
        <f>0.25*'Standardized Data'!L93</f>
        <v>0.1119304889</v>
      </c>
      <c r="M93" s="24">
        <f>0.25*'Standardized Data'!M93</f>
        <v>0.2397784864</v>
      </c>
      <c r="N93" s="24">
        <f>0.25*'Standardized Data'!N93</f>
        <v>0.2164985129</v>
      </c>
      <c r="O93" s="24">
        <f>1*'Standardized Data'!O93</f>
        <v>0.2569079874</v>
      </c>
      <c r="P93" s="24">
        <f>1*'Standardized Data'!P93</f>
        <v>0.4105198116</v>
      </c>
      <c r="Q93" s="24">
        <f>1*'Standardized Data'!Q93</f>
        <v>0.6780684055</v>
      </c>
      <c r="R93" s="24">
        <f>1*'Standardized Data'!R93</f>
        <v>0.621577757</v>
      </c>
      <c r="S93" s="24">
        <f>0.25*'Standardized Data'!S93</f>
        <v>0.1135659302</v>
      </c>
      <c r="T93" s="24">
        <f>0.25*'Standardized Data'!T93</f>
        <v>0.04454198435</v>
      </c>
      <c r="U93" s="24">
        <f>0.25*'Standardized Data'!U93</f>
        <v>0.05477471682</v>
      </c>
      <c r="V93" s="24"/>
      <c r="W93" s="24"/>
      <c r="X93" s="24"/>
      <c r="Y93" s="24"/>
      <c r="Z93" s="24"/>
      <c r="AA93" s="24"/>
      <c r="AB93" s="24"/>
    </row>
    <row r="94">
      <c r="A94" s="24" t="s">
        <v>160</v>
      </c>
      <c r="B94" s="25">
        <v>42301.0</v>
      </c>
      <c r="C94" s="24">
        <f>0.5*'Standardized Data'!C94</f>
        <v>0.2693007608</v>
      </c>
      <c r="D94" s="24">
        <f>0.5*'Standardized Data'!D94</f>
        <v>0.4</v>
      </c>
      <c r="E94" s="24">
        <f>4*'Standardized Data'!E94</f>
        <v>2.404</v>
      </c>
      <c r="F94" s="24">
        <f>4*'Standardized Data'!F94</f>
        <v>1.419356</v>
      </c>
      <c r="G94" s="24">
        <f>2*'Standardized Data'!G94</f>
        <v>0.268</v>
      </c>
      <c r="H94" s="24">
        <f>2*'Standardized Data'!H94</f>
        <v>0.8364085393</v>
      </c>
      <c r="I94" s="24">
        <f>1*'Standardized Data'!I94</f>
        <v>0.4617784254</v>
      </c>
      <c r="J94" s="24">
        <f>1*'Standardized Data'!J94</f>
        <v>0.3085518199</v>
      </c>
      <c r="K94" s="24">
        <f>0.25*'Standardized Data'!K94</f>
        <v>0.1469815455</v>
      </c>
      <c r="L94" s="24">
        <f>0.25*'Standardized Data'!L94</f>
        <v>0.1315814896</v>
      </c>
      <c r="M94" s="24">
        <f>0.25*'Standardized Data'!M94</f>
        <v>0.1851487056</v>
      </c>
      <c r="N94" s="24">
        <f>0.25*'Standardized Data'!N94</f>
        <v>0.1700895419</v>
      </c>
      <c r="O94" s="24">
        <f>1*'Standardized Data'!O94</f>
        <v>0.691333204</v>
      </c>
      <c r="P94" s="24">
        <f>1*'Standardized Data'!P94</f>
        <v>0.5766168217</v>
      </c>
      <c r="Q94" s="24">
        <f>1*'Standardized Data'!Q94</f>
        <v>0.3741869776</v>
      </c>
      <c r="R94" s="24">
        <f>1*'Standardized Data'!R94</f>
        <v>0.5872585912</v>
      </c>
      <c r="S94" s="24">
        <f>0.25*'Standardized Data'!S94</f>
        <v>0.2269607568</v>
      </c>
      <c r="T94" s="24">
        <f>0.25*'Standardized Data'!T94</f>
        <v>0.04718326976</v>
      </c>
      <c r="U94" s="24">
        <f>0.25*'Standardized Data'!U94</f>
        <v>0.07303083816</v>
      </c>
      <c r="V94" s="24"/>
      <c r="W94" s="24"/>
      <c r="X94" s="24"/>
      <c r="Y94" s="24"/>
      <c r="Z94" s="24"/>
      <c r="AA94" s="24"/>
      <c r="AB94" s="24"/>
    </row>
    <row r="95">
      <c r="A95" s="27" t="s">
        <v>162</v>
      </c>
      <c r="B95" s="28">
        <v>650000.0</v>
      </c>
      <c r="C95" s="24">
        <f>0.5*'Standardized Data'!C95</f>
        <v>0.4621511549</v>
      </c>
      <c r="D95" s="24">
        <f>0.5*'Standardized Data'!D95</f>
        <v>0</v>
      </c>
      <c r="E95" s="24">
        <f>4*'Standardized Data'!E95</f>
        <v>2.476</v>
      </c>
      <c r="F95" s="24">
        <f>4*'Standardized Data'!F95</f>
        <v>1.161292</v>
      </c>
      <c r="G95" s="24">
        <f>2*'Standardized Data'!G95</f>
        <v>1.898</v>
      </c>
      <c r="H95" s="24">
        <f>2*'Standardized Data'!H95</f>
        <v>1.462066456</v>
      </c>
      <c r="I95" s="24">
        <f>1*'Standardized Data'!I95</f>
        <v>0.9371519365</v>
      </c>
      <c r="J95" s="24">
        <f>1*'Standardized Data'!J95</f>
        <v>0.9465655155</v>
      </c>
      <c r="K95" s="24">
        <f>0.25*'Standardized Data'!K95</f>
        <v>0.1450278673</v>
      </c>
      <c r="L95" s="24">
        <f>0.25*'Standardized Data'!L95</f>
        <v>0.140001231</v>
      </c>
      <c r="M95" s="24">
        <f>0.25*'Standardized Data'!M95</f>
        <v>0.2007311819</v>
      </c>
      <c r="N95" s="24">
        <f>0.25*'Standardized Data'!N95</f>
        <v>0.25</v>
      </c>
      <c r="O95" s="24">
        <f>1*'Standardized Data'!O95</f>
        <v>0.2172126083</v>
      </c>
      <c r="P95" s="24">
        <f>1*'Standardized Data'!P95</f>
        <v>0</v>
      </c>
      <c r="Q95" s="24">
        <f>1*'Standardized Data'!Q95</f>
        <v>0.4538552884</v>
      </c>
      <c r="R95" s="24">
        <f>1*'Standardized Data'!R95</f>
        <v>0.9494879921</v>
      </c>
      <c r="S95" s="24">
        <f>0.25*'Standardized Data'!S95</f>
        <v>0.02278929308</v>
      </c>
      <c r="T95" s="24">
        <f>0.25*'Standardized Data'!T95</f>
        <v>0.05657169518</v>
      </c>
      <c r="U95" s="24">
        <f>0.25*'Standardized Data'!U95</f>
        <v>0.1057091423</v>
      </c>
      <c r="V95" s="24"/>
      <c r="W95" s="24"/>
      <c r="X95" s="24"/>
      <c r="Y95" s="24"/>
      <c r="Z95" s="24"/>
      <c r="AA95" s="24"/>
      <c r="AB95" s="24"/>
    </row>
    <row r="96">
      <c r="A96" s="27" t="s">
        <v>163</v>
      </c>
      <c r="B96" s="28">
        <v>540000.0</v>
      </c>
      <c r="C96" s="24">
        <f>0.5*'Standardized Data'!C96</f>
        <v>0.4621511549</v>
      </c>
      <c r="D96" s="24">
        <f>0.5*'Standardized Data'!D96</f>
        <v>0</v>
      </c>
      <c r="E96" s="24">
        <f>4*'Standardized Data'!E96</f>
        <v>2.476</v>
      </c>
      <c r="F96" s="24">
        <f>4*'Standardized Data'!F96</f>
        <v>1.161292</v>
      </c>
      <c r="G96" s="24">
        <f>2*'Standardized Data'!G96</f>
        <v>1.898</v>
      </c>
      <c r="H96" s="24">
        <f>2*'Standardized Data'!H96</f>
        <v>1.462066456</v>
      </c>
      <c r="I96" s="24">
        <f>1*'Standardized Data'!I96</f>
        <v>0.9371519365</v>
      </c>
      <c r="J96" s="24">
        <f>1*'Standardized Data'!J96</f>
        <v>0.9465655155</v>
      </c>
      <c r="K96" s="24">
        <f>0.25*'Standardized Data'!K96</f>
        <v>0.1450278673</v>
      </c>
      <c r="L96" s="24">
        <f>0.25*'Standardized Data'!L96</f>
        <v>0.140001231</v>
      </c>
      <c r="M96" s="24">
        <f>0.25*'Standardized Data'!M96</f>
        <v>0.2007311819</v>
      </c>
      <c r="N96" s="24">
        <f>0.25*'Standardized Data'!N96</f>
        <v>0.25</v>
      </c>
      <c r="O96" s="24">
        <f>1*'Standardized Data'!O96</f>
        <v>0.2172126083</v>
      </c>
      <c r="P96" s="24">
        <f>1*'Standardized Data'!P96</f>
        <v>0</v>
      </c>
      <c r="Q96" s="24">
        <f>1*'Standardized Data'!Q96</f>
        <v>0.4538552884</v>
      </c>
      <c r="R96" s="24">
        <f>1*'Standardized Data'!R96</f>
        <v>0.9494879921</v>
      </c>
      <c r="S96" s="24">
        <f>0.25*'Standardized Data'!S96</f>
        <v>0.02278929308</v>
      </c>
      <c r="T96" s="24">
        <f>0.25*'Standardized Data'!T96</f>
        <v>0.05657169518</v>
      </c>
      <c r="U96" s="24">
        <f>0.25*'Standardized Data'!U96</f>
        <v>0.1057091423</v>
      </c>
      <c r="V96" s="24"/>
      <c r="W96" s="24"/>
      <c r="X96" s="24"/>
      <c r="Y96" s="24"/>
      <c r="Z96" s="24"/>
      <c r="AA96" s="24"/>
      <c r="AB96" s="24"/>
    </row>
    <row r="97">
      <c r="A97" s="24" t="s">
        <v>164</v>
      </c>
      <c r="B97" s="25">
        <v>18836.0</v>
      </c>
      <c r="C97" s="24">
        <f>0.5*'Standardized Data'!C97</f>
        <v>0.153834787</v>
      </c>
      <c r="D97" s="24">
        <f>0.5*'Standardized Data'!D97</f>
        <v>0.5</v>
      </c>
      <c r="E97" s="24">
        <f>4*'Standardized Data'!E97</f>
        <v>2.44</v>
      </c>
      <c r="F97" s="24">
        <f>4*'Standardized Data'!F97</f>
        <v>1.225808</v>
      </c>
      <c r="G97" s="24">
        <f>2*'Standardized Data'!G97</f>
        <v>0</v>
      </c>
      <c r="H97" s="24">
        <f>2*'Standardized Data'!H97</f>
        <v>1.128930129</v>
      </c>
      <c r="I97" s="24">
        <f>1*'Standardized Data'!I97</f>
        <v>0.53662927</v>
      </c>
      <c r="J97" s="24">
        <f>1*'Standardized Data'!J97</f>
        <v>0.3238401144</v>
      </c>
      <c r="K97" s="24">
        <f>0.25*'Standardized Data'!K97</f>
        <v>0.1397902658</v>
      </c>
      <c r="L97" s="24">
        <f>0.25*'Standardized Data'!L97</f>
        <v>0.129848408</v>
      </c>
      <c r="M97" s="24">
        <f>0.25*'Standardized Data'!M97</f>
        <v>0.2014125113</v>
      </c>
      <c r="N97" s="24">
        <f>0.25*'Standardized Data'!N97</f>
        <v>0.1561616204</v>
      </c>
      <c r="O97" s="24">
        <f>1*'Standardized Data'!O97</f>
        <v>0.7750663161</v>
      </c>
      <c r="P97" s="24">
        <f>1*'Standardized Data'!P97</f>
        <v>0.8386284903</v>
      </c>
      <c r="Q97" s="24">
        <f>1*'Standardized Data'!Q97</f>
        <v>0.6253181476</v>
      </c>
      <c r="R97" s="24">
        <f>1*'Standardized Data'!R97</f>
        <v>0.621577757</v>
      </c>
      <c r="S97" s="24">
        <f>0.25*'Standardized Data'!S97</f>
        <v>0.2280345381</v>
      </c>
      <c r="T97" s="24">
        <f>0.25*'Standardized Data'!T97</f>
        <v>0.0356927657</v>
      </c>
      <c r="U97" s="24">
        <f>0.25*'Standardized Data'!U97</f>
        <v>0.07303083816</v>
      </c>
      <c r="V97" s="24"/>
      <c r="W97" s="24"/>
      <c r="X97" s="24"/>
      <c r="Y97" s="24"/>
      <c r="Z97" s="24"/>
      <c r="AA97" s="24"/>
      <c r="AB97" s="24"/>
    </row>
    <row r="98">
      <c r="A98" s="24" t="s">
        <v>165</v>
      </c>
      <c r="B98" s="25">
        <v>10713.0</v>
      </c>
      <c r="C98" s="24">
        <f>0.5*'Standardized Data'!C98</f>
        <v>0.1205754059</v>
      </c>
      <c r="D98" s="24">
        <f>0.5*'Standardized Data'!D98</f>
        <v>0.5</v>
      </c>
      <c r="E98" s="24">
        <f>4*'Standardized Data'!E98</f>
        <v>2.236</v>
      </c>
      <c r="F98" s="24">
        <f>4*'Standardized Data'!F98</f>
        <v>1.67742</v>
      </c>
      <c r="G98" s="24">
        <f>2*'Standardized Data'!G98</f>
        <v>0.378</v>
      </c>
      <c r="H98" s="24">
        <f>2*'Standardized Data'!H98</f>
        <v>0.175476535</v>
      </c>
      <c r="I98" s="24">
        <f>1*'Standardized Data'!I98</f>
        <v>0.4733678012</v>
      </c>
      <c r="J98" s="24">
        <f>1*'Standardized Data'!J98</f>
        <v>0.06987663736</v>
      </c>
      <c r="K98" s="24">
        <f>0.25*'Standardized Data'!K98</f>
        <v>0.04514408161</v>
      </c>
      <c r="L98" s="24">
        <f>0.25*'Standardized Data'!L98</f>
        <v>0.1740586447</v>
      </c>
      <c r="M98" s="24">
        <f>0.25*'Standardized Data'!M98</f>
        <v>0.2072891705</v>
      </c>
      <c r="N98" s="24">
        <f>0.25*'Standardized Data'!N98</f>
        <v>0.09913657862</v>
      </c>
      <c r="O98" s="24">
        <f>1*'Standardized Data'!O98</f>
        <v>0.7750663161</v>
      </c>
      <c r="P98" s="24">
        <f>1*'Standardized Data'!P98</f>
        <v>0.8257479485</v>
      </c>
      <c r="Q98" s="24">
        <f>1*'Standardized Data'!Q98</f>
        <v>0.4371642196</v>
      </c>
      <c r="R98" s="24">
        <f>1*'Standardized Data'!R98</f>
        <v>0.6730222601</v>
      </c>
      <c r="S98" s="24">
        <f>0.25*'Standardized Data'!S98</f>
        <v>0.2204625509</v>
      </c>
      <c r="T98" s="24">
        <f>0.25*'Standardized Data'!T98</f>
        <v>0.06450949577</v>
      </c>
      <c r="U98" s="24">
        <f>0.25*'Standardized Data'!U98</f>
        <v>0.04891980906</v>
      </c>
      <c r="V98" s="24"/>
      <c r="W98" s="24"/>
      <c r="X98" s="24"/>
      <c r="Y98" s="24"/>
      <c r="Z98" s="24"/>
      <c r="AA98" s="24"/>
      <c r="AB98" s="24"/>
    </row>
    <row r="99">
      <c r="A99" s="24" t="s">
        <v>166</v>
      </c>
      <c r="B99" s="25">
        <v>54748.0</v>
      </c>
      <c r="C99" s="24">
        <f>0.5*'Standardized Data'!C99</f>
        <v>0.2758922254</v>
      </c>
      <c r="D99" s="24">
        <f>0.5*'Standardized Data'!D99</f>
        <v>0.4</v>
      </c>
      <c r="E99" s="24">
        <f>4*'Standardized Data'!E99</f>
        <v>1.204</v>
      </c>
      <c r="F99" s="24">
        <f>4*'Standardized Data'!F99</f>
        <v>1.741936</v>
      </c>
      <c r="G99" s="24">
        <f>2*'Standardized Data'!G99</f>
        <v>0.508</v>
      </c>
      <c r="H99" s="24">
        <f>2*'Standardized Data'!H99</f>
        <v>1.783624673</v>
      </c>
      <c r="I99" s="24">
        <f>1*'Standardized Data'!I99</f>
        <v>0.8520948106</v>
      </c>
      <c r="J99" s="24">
        <f>1*'Standardized Data'!J99</f>
        <v>0.8515373101</v>
      </c>
      <c r="K99" s="24">
        <f>0.25*'Standardized Data'!K99</f>
        <v>0.2451040834</v>
      </c>
      <c r="L99" s="24">
        <f>0.25*'Standardized Data'!L99</f>
        <v>0.0514665249</v>
      </c>
      <c r="M99" s="24">
        <f>0.25*'Standardized Data'!M99</f>
        <v>0.1767757888</v>
      </c>
      <c r="N99" s="24">
        <f>0.25*'Standardized Data'!N99</f>
        <v>0.1210742445</v>
      </c>
      <c r="O99" s="24">
        <f>1*'Standardized Data'!O99</f>
        <v>0.2569079874</v>
      </c>
      <c r="P99" s="24">
        <f>1*'Standardized Data'!P99</f>
        <v>0.5564485426</v>
      </c>
      <c r="Q99" s="24">
        <f>1*'Standardized Data'!Q99</f>
        <v>0.1523752779</v>
      </c>
      <c r="R99" s="24">
        <f>1*'Standardized Data'!R99</f>
        <v>0.9956591209</v>
      </c>
      <c r="S99" s="24">
        <f>0.25*'Standardized Data'!S99</f>
        <v>0.0863216414</v>
      </c>
      <c r="T99" s="24">
        <f>0.25*'Standardized Data'!T99</f>
        <v>0.05438013992</v>
      </c>
      <c r="U99" s="24">
        <f>0.25*'Standardized Data'!U99</f>
        <v>0.1173355491</v>
      </c>
      <c r="V99" s="24"/>
      <c r="W99" s="24"/>
      <c r="X99" s="24"/>
      <c r="Y99" s="24"/>
      <c r="Z99" s="24"/>
      <c r="AA99" s="24"/>
      <c r="AB99" s="24"/>
    </row>
    <row r="100">
      <c r="A100" s="24" t="s">
        <v>167</v>
      </c>
      <c r="B100" s="25">
        <v>118686.0</v>
      </c>
      <c r="C100" s="24">
        <f>0.5*'Standardized Data'!C100</f>
        <v>0.293407989</v>
      </c>
      <c r="D100" s="24">
        <f>0.5*'Standardized Data'!D100</f>
        <v>0.3</v>
      </c>
      <c r="E100" s="24">
        <f>4*'Standardized Data'!E100</f>
        <v>2.512</v>
      </c>
      <c r="F100" s="24">
        <f>4*'Standardized Data'!F100</f>
        <v>2.451612</v>
      </c>
      <c r="G100" s="24">
        <f>2*'Standardized Data'!G100</f>
        <v>0.56</v>
      </c>
      <c r="H100" s="24">
        <f>2*'Standardized Data'!H100</f>
        <v>0.7519848385</v>
      </c>
      <c r="I100" s="24">
        <f>1*'Standardized Data'!I100</f>
        <v>0.5194560954</v>
      </c>
      <c r="J100" s="24">
        <f>1*'Standardized Data'!J100</f>
        <v>0.3893473921</v>
      </c>
      <c r="K100" s="24">
        <f>0.25*'Standardized Data'!K100</f>
        <v>0.1020957746</v>
      </c>
      <c r="L100" s="24">
        <f>0.25*'Standardized Data'!L100</f>
        <v>0.09108624033</v>
      </c>
      <c r="M100" s="24">
        <f>0.25*'Standardized Data'!M100</f>
        <v>0.2286845902</v>
      </c>
      <c r="N100" s="24">
        <f>0.25*'Standardized Data'!N100</f>
        <v>0.1608723737</v>
      </c>
      <c r="O100" s="24">
        <f>1*'Standardized Data'!O100</f>
        <v>0.4741205957</v>
      </c>
      <c r="P100" s="24">
        <f>1*'Standardized Data'!P100</f>
        <v>0.4308244129</v>
      </c>
      <c r="Q100" s="24">
        <f>1*'Standardized Data'!Q100</f>
        <v>0.2708653187</v>
      </c>
      <c r="R100" s="24">
        <f>1*'Standardized Data'!R100</f>
        <v>0.8439794658</v>
      </c>
      <c r="S100" s="24">
        <f>0.25*'Standardized Data'!S100</f>
        <v>0.2003725782</v>
      </c>
      <c r="T100" s="24">
        <f>0.25*'Standardized Data'!T100</f>
        <v>0.0745073221</v>
      </c>
      <c r="U100" s="24">
        <f>0.25*'Standardized Data'!U100</f>
        <v>0.1141425403</v>
      </c>
      <c r="V100" s="24"/>
      <c r="W100" s="24"/>
      <c r="X100" s="24"/>
      <c r="Y100" s="24"/>
      <c r="Z100" s="24"/>
      <c r="AA100" s="24"/>
      <c r="AB100" s="24"/>
    </row>
    <row r="101">
      <c r="A101" s="24" t="s">
        <v>168</v>
      </c>
      <c r="B101" s="25">
        <v>66013.0</v>
      </c>
      <c r="C101" s="24">
        <f>0.5*'Standardized Data'!C101</f>
        <v>0.2155104013</v>
      </c>
      <c r="D101" s="24">
        <f>0.5*'Standardized Data'!D101</f>
        <v>0.4</v>
      </c>
      <c r="E101" s="24">
        <f>4*'Standardized Data'!E101</f>
        <v>1.056</v>
      </c>
      <c r="F101" s="24">
        <f>4*'Standardized Data'!F101</f>
        <v>3.870968</v>
      </c>
      <c r="G101" s="24">
        <f>2*'Standardized Data'!G101</f>
        <v>0.442</v>
      </c>
      <c r="H101" s="24">
        <f>2*'Standardized Data'!H101</f>
        <v>0.9787426083</v>
      </c>
      <c r="I101" s="24">
        <f>1*'Standardized Data'!I101</f>
        <v>0.2544487646</v>
      </c>
      <c r="J101" s="24">
        <f>1*'Standardized Data'!J101</f>
        <v>0.2498700253</v>
      </c>
      <c r="K101" s="24">
        <f>0.25*'Standardized Data'!K101</f>
        <v>0.2293233782</v>
      </c>
      <c r="L101" s="24">
        <f>0.25*'Standardized Data'!L101</f>
        <v>0.08123145155</v>
      </c>
      <c r="M101" s="24">
        <f>0.25*'Standardized Data'!M101</f>
        <v>0.2202033623</v>
      </c>
      <c r="N101" s="24">
        <f>0.25*'Standardized Data'!N101</f>
        <v>0.1745998308</v>
      </c>
      <c r="O101" s="24">
        <f>1*'Standardized Data'!O101</f>
        <v>0.5396716133</v>
      </c>
      <c r="P101" s="24">
        <f>1*'Standardized Data'!P101</f>
        <v>0.6102747864</v>
      </c>
      <c r="Q101" s="24">
        <f>1*'Standardized Data'!Q101</f>
        <v>0.425924289</v>
      </c>
      <c r="R101" s="24">
        <f>1*'Standardized Data'!R101</f>
        <v>0.5990237144</v>
      </c>
      <c r="S101" s="24">
        <f>0.25*'Standardized Data'!S101</f>
        <v>0.1572176742</v>
      </c>
      <c r="T101" s="24">
        <f>0.25*'Standardized Data'!T101</f>
        <v>0.0745073221</v>
      </c>
      <c r="U101" s="24">
        <f>0.25*'Standardized Data'!U101</f>
        <v>0.1021372332</v>
      </c>
      <c r="V101" s="24"/>
      <c r="W101" s="24"/>
      <c r="X101" s="24"/>
      <c r="Y101" s="24"/>
      <c r="Z101" s="24"/>
      <c r="AA101" s="24"/>
      <c r="AB101" s="24"/>
    </row>
    <row r="102">
      <c r="A102" s="24" t="s">
        <v>169</v>
      </c>
      <c r="B102" s="25">
        <v>78970.0</v>
      </c>
      <c r="C102" s="24">
        <f>0.5*'Standardized Data'!C102</f>
        <v>0.2932861226</v>
      </c>
      <c r="D102" s="24">
        <f>0.5*'Standardized Data'!D102</f>
        <v>0.4</v>
      </c>
      <c r="E102" s="24">
        <f>4*'Standardized Data'!E102</f>
        <v>2.528</v>
      </c>
      <c r="F102" s="24">
        <f>4*'Standardized Data'!F102</f>
        <v>1.870968</v>
      </c>
      <c r="G102" s="24">
        <f>2*'Standardized Data'!G102</f>
        <v>0.57</v>
      </c>
      <c r="H102" s="24">
        <f>2*'Standardized Data'!H102</f>
        <v>0.7626492804</v>
      </c>
      <c r="I102" s="24">
        <f>1*'Standardized Data'!I102</f>
        <v>0.4034213796</v>
      </c>
      <c r="J102" s="24">
        <f>1*'Standardized Data'!J102</f>
        <v>0.361780684</v>
      </c>
      <c r="K102" s="24">
        <f>0.25*'Standardized Data'!K102</f>
        <v>0.122823093</v>
      </c>
      <c r="L102" s="24">
        <f>0.25*'Standardized Data'!L102</f>
        <v>0.1018323959</v>
      </c>
      <c r="M102" s="24">
        <f>0.25*'Standardized Data'!M102</f>
        <v>0.2232501082</v>
      </c>
      <c r="N102" s="24">
        <f>0.25*'Standardized Data'!N102</f>
        <v>0.1608723737</v>
      </c>
      <c r="O102" s="24">
        <f>1*'Standardized Data'!O102</f>
        <v>0.9044316699</v>
      </c>
      <c r="P102" s="24">
        <f>1*'Standardized Data'!P102</f>
        <v>0.5369614421</v>
      </c>
      <c r="Q102" s="24">
        <f>1*'Standardized Data'!Q102</f>
        <v>0.2194474467</v>
      </c>
      <c r="R102" s="24">
        <f>1*'Standardized Data'!R102</f>
        <v>0.7518240375</v>
      </c>
      <c r="S102" s="24">
        <f>0.25*'Standardized Data'!S102</f>
        <v>0.2037851396</v>
      </c>
      <c r="T102" s="24">
        <f>0.25*'Standardized Data'!T102</f>
        <v>0.08023475004</v>
      </c>
      <c r="U102" s="24">
        <f>0.25*'Standardized Data'!U102</f>
        <v>0.1003048178</v>
      </c>
      <c r="V102" s="24"/>
      <c r="W102" s="24"/>
      <c r="X102" s="24"/>
      <c r="Y102" s="24"/>
      <c r="Z102" s="24"/>
      <c r="AA102" s="24"/>
      <c r="AB102" s="24"/>
    </row>
    <row r="103">
      <c r="A103" s="24" t="s">
        <v>171</v>
      </c>
      <c r="B103" s="25">
        <v>37774.0</v>
      </c>
      <c r="C103" s="24">
        <f>0.5*'Standardized Data'!C103</f>
        <v>0.2367571112</v>
      </c>
      <c r="D103" s="24">
        <f>0.5*'Standardized Data'!D103</f>
        <v>0.2</v>
      </c>
      <c r="E103" s="24">
        <f>4*'Standardized Data'!E103</f>
        <v>1.276</v>
      </c>
      <c r="F103" s="24">
        <f>4*'Standardized Data'!F103</f>
        <v>4</v>
      </c>
      <c r="G103" s="24">
        <f>2*'Standardized Data'!G103</f>
        <v>0.438</v>
      </c>
      <c r="H103" s="24">
        <f>2*'Standardized Data'!H103</f>
        <v>0.8110002404</v>
      </c>
      <c r="I103" s="24">
        <f>1*'Standardized Data'!I103</f>
        <v>0.5251871034</v>
      </c>
      <c r="J103" s="24">
        <f>1*'Standardized Data'!J103</f>
        <v>0.2181111754</v>
      </c>
      <c r="K103" s="24">
        <f>0.25*'Standardized Data'!K103</f>
        <v>0.1940174163</v>
      </c>
      <c r="L103" s="24">
        <f>0.25*'Standardized Data'!L103</f>
        <v>0.081647384</v>
      </c>
      <c r="M103" s="24">
        <f>0.25*'Standardized Data'!M103</f>
        <v>0.2152711133</v>
      </c>
      <c r="N103" s="24">
        <f>0.25*'Standardized Data'!N103</f>
        <v>0.2085488479</v>
      </c>
      <c r="O103" s="24">
        <f>1*'Standardized Data'!O103</f>
        <v>0.2172126083</v>
      </c>
      <c r="P103" s="24">
        <f>1*'Standardized Data'!P103</f>
        <v>0.7471869201</v>
      </c>
      <c r="Q103" s="24">
        <f>1*'Standardized Data'!Q103</f>
        <v>0.5291983287</v>
      </c>
      <c r="R103" s="24">
        <f>1*'Standardized Data'!R103</f>
        <v>0.5751422189</v>
      </c>
      <c r="S103" s="24">
        <f>0.25*'Standardized Data'!S103</f>
        <v>0.1696350302</v>
      </c>
      <c r="T103" s="24">
        <f>0.25*'Standardized Data'!T103</f>
        <v>0.0788615013</v>
      </c>
      <c r="U103" s="24">
        <f>0.25*'Standardized Data'!U103</f>
        <v>0.1074506898</v>
      </c>
      <c r="V103" s="24"/>
      <c r="W103" s="24"/>
      <c r="X103" s="24"/>
      <c r="Y103" s="24"/>
      <c r="Z103" s="24"/>
      <c r="AA103" s="24"/>
      <c r="AB103" s="24"/>
    </row>
    <row r="104">
      <c r="A104" s="24" t="s">
        <v>172</v>
      </c>
      <c r="B104" s="25">
        <v>18938.0</v>
      </c>
      <c r="C104" s="24">
        <f>0.5*'Standardized Data'!C104</f>
        <v>0.1810086476</v>
      </c>
      <c r="D104" s="24">
        <f>0.5*'Standardized Data'!D104</f>
        <v>0.5</v>
      </c>
      <c r="E104" s="24">
        <f>4*'Standardized Data'!E104</f>
        <v>0.744</v>
      </c>
      <c r="F104" s="24">
        <f>4*'Standardized Data'!F104</f>
        <v>3.096776</v>
      </c>
      <c r="G104" s="24">
        <f>2*'Standardized Data'!G104</f>
        <v>0.284</v>
      </c>
      <c r="H104" s="24">
        <f>2*'Standardized Data'!H104</f>
        <v>1.443533698</v>
      </c>
      <c r="I104" s="24">
        <f>1*'Standardized Data'!I104</f>
        <v>0.6159929608</v>
      </c>
      <c r="J104" s="24">
        <f>1*'Standardized Data'!J104</f>
        <v>0.4333677005</v>
      </c>
      <c r="K104" s="24">
        <f>0.25*'Standardized Data'!K104</f>
        <v>0.25</v>
      </c>
      <c r="L104" s="24">
        <f>0.25*'Standardized Data'!L104</f>
        <v>0.03834349779</v>
      </c>
      <c r="M104" s="24">
        <f>0.25*'Standardized Data'!M104</f>
        <v>0.166558276</v>
      </c>
      <c r="N104" s="24">
        <f>0.25*'Standardized Data'!N104</f>
        <v>0.09340723376</v>
      </c>
      <c r="O104" s="24">
        <f>1*'Standardized Data'!O104</f>
        <v>0.4053707281</v>
      </c>
      <c r="P104" s="24">
        <f>1*'Standardized Data'!P104</f>
        <v>0.770278362</v>
      </c>
      <c r="Q104" s="24">
        <f>1*'Standardized Data'!Q104</f>
        <v>0.6056281177</v>
      </c>
      <c r="R104" s="24">
        <f>1*'Standardized Data'!R104</f>
        <v>0.5226992692</v>
      </c>
      <c r="S104" s="24">
        <f>0.25*'Standardized Data'!S104</f>
        <v>0.128601983</v>
      </c>
      <c r="T104" s="24">
        <f>0.25*'Standardized Data'!T104</f>
        <v>0.09226446088</v>
      </c>
      <c r="U104" s="24">
        <f>0.25*'Standardized Data'!U104</f>
        <v>0.1306153543</v>
      </c>
      <c r="V104" s="24"/>
      <c r="W104" s="24"/>
      <c r="X104" s="24"/>
      <c r="Y104" s="24"/>
      <c r="Z104" s="24"/>
      <c r="AA104" s="24"/>
      <c r="AB104" s="24"/>
    </row>
    <row r="105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4"/>
      <c r="AB105" s="24"/>
    </row>
    <row r="106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24"/>
      <c r="AB106" s="24"/>
    </row>
    <row r="107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4"/>
      <c r="AB107" s="24"/>
    </row>
    <row r="108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  <c r="AA108" s="24"/>
      <c r="AB108" s="24"/>
    </row>
    <row r="109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  <c r="AB109" s="24"/>
    </row>
    <row r="110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  <c r="AB110" s="24"/>
    </row>
    <row r="111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  <c r="AB111" s="24"/>
    </row>
    <row r="112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4"/>
      <c r="AB112" s="24"/>
    </row>
    <row r="113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  <c r="AB113" s="24"/>
    </row>
    <row r="114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4"/>
      <c r="AB114" s="24"/>
    </row>
    <row r="115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4"/>
      <c r="AB115" s="24"/>
    </row>
    <row r="116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4"/>
      <c r="AB116" s="24"/>
    </row>
    <row r="117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4"/>
      <c r="AB117" s="24"/>
    </row>
    <row r="118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  <c r="AB118" s="24"/>
    </row>
    <row r="119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  <c r="AB119" s="24"/>
    </row>
    <row r="120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  <c r="AB120" s="24"/>
    </row>
    <row r="121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4"/>
      <c r="AB121" s="24"/>
    </row>
    <row r="122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  <c r="AA122" s="24"/>
      <c r="AB122" s="24"/>
    </row>
    <row r="123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  <c r="AA123" s="24"/>
      <c r="AB123" s="24"/>
    </row>
    <row r="124">
      <c r="A124" s="2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  <c r="AA124" s="24"/>
      <c r="AB124" s="24"/>
    </row>
    <row r="125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  <c r="AA125" s="24"/>
      <c r="AB125" s="24"/>
    </row>
    <row r="126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  <c r="AA126" s="24"/>
      <c r="AB126" s="24"/>
    </row>
    <row r="127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4"/>
      <c r="AB127" s="24"/>
    </row>
    <row r="128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  <c r="AA128" s="24"/>
      <c r="AB128" s="24"/>
    </row>
    <row r="129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  <c r="AB129" s="24"/>
    </row>
    <row r="130">
      <c r="A130" s="2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  <c r="AB130" s="24"/>
    </row>
    <row r="131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  <c r="AA131" s="24"/>
      <c r="AB131" s="24"/>
    </row>
    <row r="132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  <c r="AA132" s="24"/>
      <c r="AB132" s="24"/>
    </row>
    <row r="133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4"/>
      <c r="AB133" s="24"/>
    </row>
    <row r="134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  <c r="AA134" s="24"/>
      <c r="AB134" s="24"/>
    </row>
    <row r="135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  <c r="AA135" s="24"/>
      <c r="AB135" s="24"/>
    </row>
    <row r="136">
      <c r="A136" s="2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  <c r="AA136" s="24"/>
      <c r="AB136" s="24"/>
    </row>
    <row r="137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4"/>
      <c r="AB137" s="24"/>
    </row>
    <row r="138">
      <c r="A138" s="2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4"/>
      <c r="AB138" s="24"/>
    </row>
    <row r="139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  <c r="AA139" s="24"/>
      <c r="AB139" s="24"/>
    </row>
    <row r="140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  <c r="AA140" s="24"/>
      <c r="AB140" s="24"/>
    </row>
    <row r="141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</row>
    <row r="142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</row>
    <row r="143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  <c r="AA143" s="24"/>
      <c r="AB143" s="24"/>
    </row>
    <row r="144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  <c r="AA144" s="24"/>
      <c r="AB144" s="24"/>
    </row>
    <row r="145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  <c r="AA145" s="24"/>
      <c r="AB145" s="24"/>
    </row>
    <row r="146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  <c r="AA146" s="24"/>
      <c r="AB146" s="24"/>
    </row>
    <row r="147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  <c r="AA147" s="24"/>
      <c r="AB147" s="24"/>
    </row>
    <row r="148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</row>
    <row r="149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</row>
    <row r="150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  <c r="AA150" s="24"/>
      <c r="AB150" s="24"/>
    </row>
    <row r="151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  <c r="AB151" s="24"/>
    </row>
    <row r="152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  <c r="AB152" s="24"/>
    </row>
    <row r="153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</row>
    <row r="154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  <c r="AB154" s="24"/>
    </row>
    <row r="155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  <c r="AB155" s="24"/>
    </row>
    <row r="156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</row>
    <row r="157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</row>
    <row r="158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</row>
    <row r="159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  <c r="AB159" s="24"/>
    </row>
    <row r="160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</row>
    <row r="161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</row>
    <row r="162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</row>
    <row r="163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</row>
    <row r="164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</row>
    <row r="165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</row>
    <row r="166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</row>
    <row r="167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</row>
    <row r="168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</row>
    <row r="169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</row>
    <row r="170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</row>
    <row r="171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</row>
    <row r="172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</row>
    <row r="173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</row>
    <row r="174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</row>
    <row r="175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</row>
    <row r="176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</row>
    <row r="177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  <c r="AB177" s="24"/>
    </row>
    <row r="178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  <c r="AB178" s="24"/>
    </row>
    <row r="179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  <c r="AB179" s="24"/>
    </row>
    <row r="180">
      <c r="A180" s="2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  <c r="AB180" s="24"/>
    </row>
    <row r="181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  <c r="AB181" s="24"/>
    </row>
    <row r="182">
      <c r="A182" s="2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  <c r="AB182" s="24"/>
    </row>
    <row r="183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  <c r="AB183" s="24"/>
    </row>
    <row r="184">
      <c r="A184" s="2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  <c r="AB184" s="24"/>
    </row>
    <row r="185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  <c r="AB185" s="24"/>
    </row>
    <row r="186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  <c r="AB186" s="24"/>
    </row>
    <row r="187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  <c r="AB187" s="24"/>
    </row>
    <row r="188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  <c r="AB188" s="24"/>
    </row>
    <row r="189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  <c r="AB189" s="24"/>
    </row>
    <row r="190">
      <c r="A190" s="2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  <c r="AB190" s="24"/>
    </row>
    <row r="191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  <c r="AB191" s="24"/>
    </row>
    <row r="192">
      <c r="A192" s="2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  <c r="AB192" s="24"/>
    </row>
    <row r="193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  <c r="AB193" s="24"/>
    </row>
    <row r="194">
      <c r="A194" s="2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  <c r="AB194" s="24"/>
    </row>
    <row r="195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  <c r="AB195" s="24"/>
    </row>
    <row r="196">
      <c r="A196" s="2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  <c r="AB196" s="24"/>
    </row>
    <row r="197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  <c r="AB197" s="24"/>
    </row>
    <row r="198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  <c r="AB198" s="24"/>
    </row>
    <row r="199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  <c r="AB199" s="24"/>
    </row>
    <row r="200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  <c r="AB200" s="24"/>
    </row>
    <row r="201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4"/>
      <c r="AB201" s="24"/>
    </row>
    <row r="202">
      <c r="A202" s="24"/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  <c r="AB202" s="24"/>
    </row>
    <row r="203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4"/>
      <c r="AB203" s="24"/>
    </row>
    <row r="204">
      <c r="A204" s="24"/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  <c r="AB204" s="24"/>
    </row>
    <row r="205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  <c r="AB205" s="24"/>
    </row>
    <row r="206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  <c r="AB206" s="24"/>
    </row>
    <row r="207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4"/>
      <c r="AB207" s="24"/>
    </row>
    <row r="208">
      <c r="A208" s="24"/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  <c r="AB208" s="24"/>
    </row>
    <row r="209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4"/>
      <c r="AB209" s="24"/>
    </row>
    <row r="210">
      <c r="A210" s="24"/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4"/>
      <c r="AB210" s="24"/>
    </row>
    <row r="211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4"/>
      <c r="AB211" s="24"/>
    </row>
    <row r="212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4"/>
      <c r="AB212" s="24"/>
    </row>
    <row r="213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4"/>
      <c r="AB213" s="24"/>
    </row>
    <row r="214">
      <c r="A214" s="24"/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  <c r="AA214" s="24"/>
      <c r="AB214" s="24"/>
    </row>
    <row r="215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  <c r="AA215" s="24"/>
      <c r="AB215" s="24"/>
    </row>
    <row r="216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  <c r="AA216" s="24"/>
      <c r="AB216" s="24"/>
    </row>
    <row r="217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  <c r="AA217" s="24"/>
      <c r="AB217" s="24"/>
    </row>
    <row r="218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  <c r="AA218" s="24"/>
      <c r="AB218" s="24"/>
    </row>
    <row r="219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  <c r="AA219" s="24"/>
      <c r="AB219" s="24"/>
    </row>
    <row r="220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  <c r="AA220" s="24"/>
      <c r="AB220" s="24"/>
    </row>
    <row r="221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  <c r="AB221" s="24"/>
    </row>
    <row r="222">
      <c r="A222" s="2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  <c r="AB222" s="24"/>
    </row>
    <row r="223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  <c r="AB223" s="24"/>
    </row>
    <row r="224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  <c r="AB224" s="24"/>
    </row>
    <row r="225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24"/>
    </row>
    <row r="226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  <c r="AB226" s="24"/>
    </row>
    <row r="227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  <c r="AB227" s="24"/>
    </row>
    <row r="228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  <c r="AB228" s="24"/>
    </row>
    <row r="229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  <c r="AB229" s="24"/>
    </row>
    <row r="230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  <c r="AB230" s="24"/>
    </row>
    <row r="231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  <c r="AB231" s="24"/>
    </row>
    <row r="232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  <c r="AB232" s="24"/>
    </row>
    <row r="233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  <c r="AB233" s="24"/>
    </row>
    <row r="234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  <c r="AB234" s="24"/>
    </row>
    <row r="235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  <c r="AB235" s="24"/>
    </row>
    <row r="236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  <c r="AB236" s="24"/>
    </row>
    <row r="237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24"/>
    </row>
    <row r="238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  <c r="AB238" s="24"/>
    </row>
    <row r="239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  <c r="AB239" s="24"/>
    </row>
    <row r="240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  <c r="AB240" s="24"/>
    </row>
    <row r="241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  <c r="AB241" s="24"/>
    </row>
    <row r="242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  <c r="AB242" s="24"/>
    </row>
    <row r="243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  <c r="AB243" s="24"/>
    </row>
    <row r="244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  <c r="AB244" s="24"/>
    </row>
    <row r="245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24"/>
    </row>
    <row r="246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  <c r="AB246" s="24"/>
    </row>
    <row r="247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24"/>
    </row>
    <row r="248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24"/>
    </row>
    <row r="249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24"/>
    </row>
    <row r="250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24"/>
    </row>
    <row r="251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  <c r="AB251" s="24"/>
    </row>
    <row r="252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  <c r="AB252" s="24"/>
    </row>
    <row r="253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24"/>
    </row>
    <row r="254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24"/>
    </row>
    <row r="255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  <c r="AB255" s="24"/>
    </row>
    <row r="256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  <c r="AB256" s="24"/>
    </row>
    <row r="257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  <c r="AB257" s="24"/>
    </row>
    <row r="258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  <c r="AB258" s="24"/>
    </row>
    <row r="259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24"/>
    </row>
    <row r="260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24"/>
    </row>
    <row r="261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  <c r="AB261" s="24"/>
    </row>
    <row r="262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24"/>
    </row>
    <row r="263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24"/>
    </row>
    <row r="264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24"/>
    </row>
    <row r="265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24"/>
    </row>
    <row r="266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  <c r="AB266" s="24"/>
    </row>
    <row r="267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24"/>
    </row>
    <row r="268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24"/>
    </row>
    <row r="269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24"/>
    </row>
    <row r="270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24"/>
    </row>
    <row r="271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24"/>
    </row>
    <row r="272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24"/>
    </row>
    <row r="273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24"/>
    </row>
    <row r="274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24"/>
    </row>
    <row r="275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24"/>
    </row>
    <row r="276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24"/>
    </row>
    <row r="277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24"/>
    </row>
    <row r="278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</row>
    <row r="279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24"/>
    </row>
    <row r="280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24"/>
    </row>
    <row r="281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  <c r="AB281" s="24"/>
    </row>
    <row r="282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  <c r="AB282" s="24"/>
    </row>
    <row r="283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  <c r="AB283" s="24"/>
    </row>
    <row r="284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  <c r="AB284" s="24"/>
    </row>
    <row r="285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  <c r="AB285" s="24"/>
    </row>
    <row r="286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  <c r="AB286" s="24"/>
    </row>
    <row r="287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  <c r="AB287" s="24"/>
    </row>
    <row r="288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  <c r="AB288" s="24"/>
    </row>
    <row r="289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  <c r="AB289" s="24"/>
    </row>
    <row r="290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  <c r="AB290" s="24"/>
    </row>
    <row r="291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  <c r="AB291" s="24"/>
    </row>
    <row r="292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  <c r="AB292" s="24"/>
    </row>
    <row r="293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</row>
    <row r="294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</row>
    <row r="295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</row>
    <row r="296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</row>
    <row r="297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</row>
    <row r="298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</row>
    <row r="299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  <c r="AB299" s="24"/>
    </row>
    <row r="300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  <c r="AB300" s="24"/>
    </row>
    <row r="301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  <c r="AB301" s="24"/>
    </row>
    <row r="302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  <c r="AB302" s="24"/>
    </row>
    <row r="303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  <c r="AB303" s="24"/>
    </row>
    <row r="304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  <c r="AB304" s="24"/>
    </row>
    <row r="305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  <c r="AB305" s="24"/>
    </row>
    <row r="306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  <c r="AB306" s="24"/>
    </row>
    <row r="307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  <c r="AB307" s="24"/>
    </row>
    <row r="308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  <c r="AB308" s="24"/>
    </row>
    <row r="309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  <c r="AB309" s="24"/>
    </row>
    <row r="310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  <c r="AB310" s="24"/>
    </row>
    <row r="311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  <c r="AB311" s="24"/>
    </row>
    <row r="312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  <c r="AB312" s="24"/>
    </row>
    <row r="313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  <c r="AB313" s="24"/>
    </row>
    <row r="314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  <c r="AB314" s="24"/>
    </row>
    <row r="315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  <c r="AB315" s="24"/>
    </row>
    <row r="316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  <c r="AB316" s="24"/>
    </row>
    <row r="317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  <c r="AB317" s="24"/>
    </row>
    <row r="318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  <c r="AB318" s="24"/>
    </row>
    <row r="319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  <c r="AB319" s="24"/>
    </row>
    <row r="320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  <c r="AB320" s="24"/>
    </row>
    <row r="321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  <c r="AB321" s="24"/>
    </row>
    <row r="322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  <c r="AB322" s="24"/>
    </row>
    <row r="323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  <c r="AB323" s="24"/>
    </row>
    <row r="324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  <c r="AB324" s="24"/>
    </row>
    <row r="325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  <c r="AB325" s="24"/>
    </row>
    <row r="326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  <c r="AB326" s="24"/>
    </row>
    <row r="327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  <c r="AB327" s="24"/>
    </row>
    <row r="328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  <c r="AB328" s="24"/>
    </row>
    <row r="329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  <c r="AB329" s="24"/>
    </row>
    <row r="330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  <c r="AB330" s="24"/>
    </row>
    <row r="331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  <c r="AB331" s="24"/>
    </row>
    <row r="332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  <c r="AB332" s="24"/>
    </row>
    <row r="333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  <c r="AB333" s="24"/>
    </row>
    <row r="334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  <c r="AB334" s="24"/>
    </row>
    <row r="335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  <c r="AB335" s="24"/>
    </row>
    <row r="336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  <c r="AB336" s="24"/>
    </row>
    <row r="337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  <c r="AB337" s="24"/>
    </row>
    <row r="338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  <c r="AB338" s="24"/>
    </row>
    <row r="339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  <c r="AB339" s="24"/>
    </row>
    <row r="340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  <c r="AB340" s="24"/>
    </row>
    <row r="341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  <c r="AB341" s="24"/>
    </row>
    <row r="342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  <c r="AB342" s="24"/>
    </row>
    <row r="343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  <c r="AB343" s="24"/>
    </row>
    <row r="344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  <c r="AB344" s="24"/>
    </row>
    <row r="345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  <c r="AB345" s="24"/>
    </row>
    <row r="346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  <c r="AB346" s="24"/>
    </row>
    <row r="347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  <c r="AB347" s="24"/>
    </row>
    <row r="348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  <c r="AB348" s="24"/>
    </row>
    <row r="349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  <c r="AB349" s="24"/>
    </row>
    <row r="350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  <c r="AB350" s="24"/>
    </row>
    <row r="351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  <c r="AB351" s="24"/>
    </row>
    <row r="352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  <c r="AB352" s="24"/>
    </row>
    <row r="353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  <c r="AB353" s="24"/>
    </row>
    <row r="354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  <c r="AB354" s="24"/>
    </row>
    <row r="355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  <c r="AB355" s="24"/>
    </row>
    <row r="356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  <c r="AB356" s="24"/>
    </row>
    <row r="357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  <c r="AB357" s="24"/>
    </row>
    <row r="358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  <c r="AB358" s="24"/>
    </row>
    <row r="359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  <c r="AB359" s="24"/>
    </row>
    <row r="360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  <c r="AB360" s="24"/>
    </row>
    <row r="361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  <c r="AB361" s="24"/>
    </row>
    <row r="362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  <c r="AB362" s="24"/>
    </row>
    <row r="363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  <c r="AB363" s="24"/>
    </row>
    <row r="364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  <c r="AB364" s="24"/>
    </row>
    <row r="365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  <c r="AB365" s="24"/>
    </row>
    <row r="366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  <c r="AB366" s="24"/>
    </row>
    <row r="367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  <c r="AB367" s="24"/>
    </row>
    <row r="368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  <c r="AB368" s="24"/>
    </row>
    <row r="369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  <c r="AB369" s="24"/>
    </row>
    <row r="370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  <c r="AB370" s="24"/>
    </row>
    <row r="371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  <c r="AB371" s="24"/>
    </row>
    <row r="372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  <c r="AB372" s="24"/>
    </row>
    <row r="373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  <c r="AB373" s="24"/>
    </row>
    <row r="374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  <c r="AB374" s="24"/>
    </row>
    <row r="375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  <c r="AB375" s="24"/>
    </row>
    <row r="376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  <c r="AB376" s="24"/>
    </row>
    <row r="377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  <c r="AB377" s="24"/>
    </row>
    <row r="378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  <c r="AB378" s="24"/>
    </row>
    <row r="379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  <c r="AB379" s="24"/>
    </row>
    <row r="380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  <c r="AB380" s="24"/>
    </row>
    <row r="381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  <c r="AB381" s="24"/>
    </row>
    <row r="382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  <c r="AB382" s="24"/>
    </row>
    <row r="383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  <c r="AB383" s="24"/>
    </row>
    <row r="384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  <c r="AB384" s="24"/>
    </row>
    <row r="385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  <c r="AB385" s="24"/>
    </row>
    <row r="386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  <c r="AB386" s="24"/>
    </row>
    <row r="387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  <c r="AB387" s="24"/>
    </row>
    <row r="388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  <c r="AB388" s="24"/>
    </row>
    <row r="389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  <c r="AB389" s="24"/>
    </row>
    <row r="390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  <c r="AB390" s="24"/>
    </row>
    <row r="39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  <c r="AB391" s="24"/>
    </row>
    <row r="392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  <c r="AB392" s="24"/>
    </row>
    <row r="393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  <c r="AB393" s="24"/>
    </row>
    <row r="394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  <c r="AB394" s="24"/>
    </row>
    <row r="395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  <c r="AB395" s="24"/>
    </row>
    <row r="396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  <c r="AB396" s="24"/>
    </row>
    <row r="397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  <c r="AB397" s="24"/>
    </row>
    <row r="398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</row>
    <row r="399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  <c r="AB399" s="24"/>
    </row>
    <row r="400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  <c r="AB400" s="24"/>
    </row>
    <row r="40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</row>
    <row r="402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  <c r="AB402" s="24"/>
    </row>
    <row r="403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</row>
    <row r="404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  <c r="AB404" s="24"/>
    </row>
    <row r="405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  <c r="AB405" s="24"/>
    </row>
    <row r="406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  <c r="AB406" s="24"/>
    </row>
    <row r="407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</row>
    <row r="408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  <c r="AB408" s="24"/>
    </row>
    <row r="409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  <c r="AB409" s="24"/>
    </row>
    <row r="410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  <c r="AB410" s="24"/>
    </row>
    <row r="41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  <c r="AB411" s="24"/>
    </row>
    <row r="412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  <c r="AB412" s="24"/>
    </row>
    <row r="413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  <c r="AB413" s="24"/>
    </row>
    <row r="414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  <c r="AB414" s="24"/>
    </row>
    <row r="415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  <c r="AB415" s="24"/>
    </row>
    <row r="416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  <c r="AB416" s="24"/>
    </row>
    <row r="417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  <c r="AB417" s="24"/>
    </row>
    <row r="418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  <c r="AB418" s="24"/>
    </row>
    <row r="419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  <c r="AB419" s="24"/>
    </row>
    <row r="420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  <c r="AB420" s="24"/>
    </row>
    <row r="42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  <c r="AB421" s="24"/>
    </row>
    <row r="422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  <c r="AB422" s="24"/>
    </row>
    <row r="423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  <c r="AB423" s="24"/>
    </row>
    <row r="424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  <c r="AB424" s="24"/>
    </row>
    <row r="425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  <c r="AB425" s="24"/>
    </row>
    <row r="426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  <c r="AB426" s="24"/>
    </row>
    <row r="427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  <c r="AB427" s="24"/>
    </row>
    <row r="428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  <c r="AB428" s="24"/>
    </row>
    <row r="429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  <c r="AB429" s="24"/>
    </row>
    <row r="430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  <c r="AB430" s="24"/>
    </row>
    <row r="43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  <c r="AB431" s="24"/>
    </row>
    <row r="432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  <c r="AB432" s="24"/>
    </row>
    <row r="433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  <c r="AB433" s="24"/>
    </row>
    <row r="434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</row>
    <row r="435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  <c r="AB435" s="24"/>
    </row>
    <row r="436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  <c r="AB436" s="24"/>
    </row>
    <row r="437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  <c r="AB437" s="24"/>
    </row>
    <row r="438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  <c r="AB438" s="24"/>
    </row>
    <row r="439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  <c r="AB439" s="24"/>
    </row>
    <row r="440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  <c r="AB440" s="24"/>
    </row>
    <row r="44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  <c r="AB441" s="24"/>
    </row>
    <row r="442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  <c r="AB442" s="24"/>
    </row>
    <row r="443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  <c r="AB443" s="24"/>
    </row>
    <row r="444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  <c r="AB444" s="24"/>
    </row>
    <row r="445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  <c r="AB445" s="24"/>
    </row>
    <row r="446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  <c r="AB446" s="24"/>
    </row>
    <row r="447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  <c r="AB447" s="24"/>
    </row>
    <row r="448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  <c r="AB448" s="24"/>
    </row>
    <row r="449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  <c r="AB449" s="24"/>
    </row>
    <row r="450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  <c r="AB450" s="24"/>
    </row>
    <row r="45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  <c r="AB451" s="24"/>
    </row>
    <row r="452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  <c r="AB452" s="24"/>
    </row>
    <row r="453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  <c r="AB453" s="24"/>
    </row>
    <row r="454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  <c r="AB454" s="24"/>
    </row>
    <row r="455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  <c r="AB455" s="24"/>
    </row>
    <row r="456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  <c r="AB456" s="24"/>
    </row>
    <row r="457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  <c r="AB457" s="24"/>
    </row>
    <row r="458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  <c r="AB458" s="24"/>
    </row>
    <row r="459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  <c r="AB459" s="24"/>
    </row>
    <row r="460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  <c r="AB460" s="24"/>
    </row>
    <row r="461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  <c r="AB461" s="24"/>
    </row>
    <row r="462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  <c r="AB462" s="24"/>
    </row>
    <row r="463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  <c r="AB463" s="24"/>
    </row>
    <row r="464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  <c r="AB464" s="24"/>
    </row>
    <row r="465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  <c r="AB465" s="24"/>
    </row>
    <row r="466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  <c r="AB466" s="24"/>
    </row>
    <row r="467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  <c r="AB467" s="24"/>
    </row>
    <row r="468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  <c r="AB468" s="24"/>
    </row>
    <row r="469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  <c r="AB469" s="24"/>
    </row>
    <row r="470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  <c r="AB470" s="24"/>
    </row>
    <row r="471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  <c r="AB471" s="24"/>
    </row>
    <row r="472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  <c r="AB472" s="24"/>
    </row>
    <row r="473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  <c r="AB473" s="24"/>
    </row>
    <row r="474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  <c r="AB474" s="24"/>
    </row>
    <row r="475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  <c r="AB475" s="24"/>
    </row>
    <row r="476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  <c r="AB476" s="24"/>
    </row>
    <row r="477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  <c r="AB477" s="24"/>
    </row>
    <row r="478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  <c r="AB478" s="24"/>
    </row>
    <row r="479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  <c r="AB479" s="24"/>
    </row>
    <row r="480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  <c r="AB480" s="24"/>
    </row>
    <row r="481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  <c r="AB481" s="24"/>
    </row>
    <row r="482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  <c r="AB482" s="24"/>
    </row>
    <row r="483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  <c r="AB483" s="24"/>
    </row>
    <row r="484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  <c r="AB484" s="24"/>
    </row>
    <row r="485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  <c r="AB485" s="24"/>
    </row>
    <row r="486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  <c r="AB486" s="24"/>
    </row>
    <row r="487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  <c r="AB487" s="24"/>
    </row>
    <row r="488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  <c r="AB488" s="24"/>
    </row>
    <row r="489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  <c r="AB489" s="24"/>
    </row>
    <row r="490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  <c r="AB490" s="24"/>
    </row>
    <row r="491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  <c r="AB491" s="24"/>
    </row>
    <row r="492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  <c r="AB492" s="24"/>
    </row>
    <row r="493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  <c r="AB493" s="24"/>
    </row>
    <row r="494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  <c r="AB494" s="24"/>
    </row>
    <row r="495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  <c r="AB495" s="24"/>
    </row>
    <row r="496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  <c r="AB496" s="24"/>
    </row>
    <row r="497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  <c r="AB497" s="24"/>
    </row>
    <row r="498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  <c r="AB498" s="24"/>
    </row>
    <row r="499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  <c r="AB499" s="24"/>
    </row>
    <row r="500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  <c r="AB500" s="24"/>
    </row>
    <row r="501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  <c r="AB501" s="24"/>
    </row>
    <row r="502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  <c r="AB502" s="24"/>
    </row>
    <row r="503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  <c r="AB503" s="24"/>
    </row>
    <row r="504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  <c r="AB504" s="24"/>
    </row>
    <row r="505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  <c r="AB505" s="24"/>
    </row>
    <row r="506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  <c r="AB506" s="24"/>
    </row>
    <row r="507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  <c r="AB507" s="24"/>
    </row>
    <row r="508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  <c r="AB508" s="24"/>
    </row>
    <row r="509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  <c r="AB509" s="24"/>
    </row>
    <row r="510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  <c r="AB510" s="24"/>
    </row>
    <row r="511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  <c r="AB511" s="24"/>
    </row>
    <row r="512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  <c r="AB512" s="24"/>
    </row>
    <row r="513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  <c r="AB513" s="24"/>
    </row>
    <row r="514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  <c r="AB514" s="24"/>
    </row>
    <row r="515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  <c r="AB515" s="24"/>
    </row>
    <row r="516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  <c r="AB516" s="24"/>
    </row>
    <row r="517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  <c r="AB517" s="24"/>
    </row>
    <row r="518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  <c r="AB518" s="24"/>
    </row>
    <row r="519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  <c r="AB519" s="24"/>
    </row>
    <row r="520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  <c r="AB520" s="24"/>
    </row>
    <row r="521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  <c r="AB521" s="24"/>
    </row>
    <row r="522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  <c r="AB522" s="24"/>
    </row>
    <row r="523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  <c r="AB523" s="24"/>
    </row>
    <row r="524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  <c r="AB524" s="24"/>
    </row>
    <row r="525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  <c r="AB525" s="24"/>
    </row>
    <row r="526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  <c r="AB526" s="24"/>
    </row>
    <row r="527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  <c r="AB527" s="24"/>
    </row>
    <row r="528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  <c r="AB528" s="24"/>
    </row>
    <row r="529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  <c r="AB529" s="24"/>
    </row>
    <row r="530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  <c r="AB530" s="24"/>
    </row>
    <row r="531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  <c r="AB531" s="24"/>
    </row>
    <row r="532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  <c r="AB532" s="24"/>
    </row>
    <row r="533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  <c r="AB533" s="24"/>
    </row>
    <row r="534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  <c r="AB534" s="24"/>
    </row>
    <row r="535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  <c r="AB535" s="24"/>
    </row>
    <row r="536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  <c r="AB536" s="24"/>
    </row>
    <row r="537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  <c r="AB537" s="24"/>
    </row>
    <row r="538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  <c r="AB538" s="24"/>
    </row>
    <row r="539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  <c r="AB539" s="24"/>
    </row>
    <row r="540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  <c r="AB540" s="24"/>
    </row>
    <row r="541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  <c r="AB541" s="24"/>
    </row>
    <row r="542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  <c r="AB542" s="24"/>
    </row>
    <row r="543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  <c r="AB543" s="24"/>
    </row>
    <row r="544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  <c r="AB544" s="24"/>
    </row>
    <row r="545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  <c r="AB545" s="24"/>
    </row>
    <row r="546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  <c r="AB546" s="24"/>
    </row>
    <row r="547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  <c r="AB547" s="24"/>
    </row>
    <row r="548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  <c r="AB548" s="24"/>
    </row>
    <row r="549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  <c r="AB549" s="24"/>
    </row>
    <row r="550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  <c r="AB550" s="24"/>
    </row>
    <row r="551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  <c r="AB551" s="24"/>
    </row>
    <row r="552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  <c r="AB552" s="24"/>
    </row>
    <row r="553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  <c r="AB553" s="24"/>
    </row>
    <row r="554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  <c r="AB554" s="24"/>
    </row>
    <row r="555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  <c r="AB555" s="24"/>
    </row>
    <row r="556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  <c r="AB556" s="24"/>
    </row>
    <row r="557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  <c r="AB557" s="24"/>
    </row>
    <row r="558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  <c r="AB558" s="24"/>
    </row>
    <row r="559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  <c r="AB559" s="24"/>
    </row>
    <row r="560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  <c r="AB560" s="24"/>
    </row>
    <row r="561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  <c r="AB561" s="24"/>
    </row>
    <row r="562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  <c r="AB562" s="24"/>
    </row>
    <row r="563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  <c r="AB563" s="24"/>
    </row>
    <row r="564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  <c r="AB564" s="24"/>
    </row>
    <row r="565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  <c r="AB565" s="24"/>
    </row>
    <row r="566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  <c r="AB566" s="24"/>
    </row>
    <row r="567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  <c r="AB567" s="24"/>
    </row>
    <row r="568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  <c r="AB568" s="24"/>
    </row>
    <row r="569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  <c r="AB569" s="24"/>
    </row>
    <row r="570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  <c r="AB570" s="24"/>
    </row>
    <row r="571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  <c r="AB571" s="24"/>
    </row>
    <row r="572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  <c r="AB572" s="24"/>
    </row>
    <row r="573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  <c r="AB573" s="24"/>
    </row>
    <row r="574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  <c r="AB574" s="24"/>
    </row>
    <row r="575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  <c r="AB575" s="24"/>
    </row>
    <row r="576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  <c r="AB576" s="24"/>
    </row>
    <row r="577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  <c r="AB577" s="24"/>
    </row>
    <row r="578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  <c r="AB578" s="24"/>
    </row>
    <row r="579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  <c r="AB579" s="24"/>
    </row>
    <row r="580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  <c r="AB580" s="24"/>
    </row>
    <row r="581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  <c r="AB581" s="24"/>
    </row>
    <row r="582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  <c r="AB582" s="24"/>
    </row>
    <row r="583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  <c r="AB583" s="24"/>
    </row>
    <row r="584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  <c r="AB584" s="24"/>
    </row>
    <row r="585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  <c r="AB585" s="24"/>
    </row>
    <row r="586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  <c r="AB586" s="24"/>
    </row>
    <row r="587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  <c r="AB587" s="24"/>
    </row>
    <row r="588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  <c r="AB588" s="24"/>
    </row>
    <row r="589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  <c r="AB589" s="24"/>
    </row>
    <row r="590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  <c r="AB590" s="24"/>
    </row>
    <row r="591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  <c r="AB591" s="24"/>
    </row>
    <row r="592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  <c r="AB592" s="24"/>
    </row>
    <row r="593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  <c r="AB593" s="24"/>
    </row>
    <row r="594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  <c r="AB594" s="24"/>
    </row>
    <row r="595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  <c r="AB595" s="24"/>
    </row>
    <row r="596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  <c r="AB596" s="24"/>
    </row>
    <row r="597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  <c r="AB597" s="24"/>
    </row>
    <row r="598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  <c r="AB598" s="24"/>
    </row>
    <row r="599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  <c r="AB599" s="24"/>
    </row>
    <row r="600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  <c r="AB600" s="24"/>
    </row>
    <row r="601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  <c r="AB601" s="24"/>
    </row>
    <row r="602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  <c r="AB602" s="24"/>
    </row>
    <row r="603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  <c r="AB603" s="24"/>
    </row>
    <row r="604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  <c r="AB604" s="24"/>
    </row>
    <row r="605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  <c r="AB605" s="24"/>
    </row>
    <row r="606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  <c r="AB606" s="24"/>
    </row>
    <row r="607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  <c r="AB607" s="24"/>
    </row>
    <row r="608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  <c r="AB608" s="24"/>
    </row>
    <row r="609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  <c r="AB609" s="24"/>
    </row>
    <row r="610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  <c r="AB610" s="24"/>
    </row>
    <row r="611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  <c r="AB611" s="24"/>
    </row>
    <row r="612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  <c r="AB612" s="24"/>
    </row>
    <row r="613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  <c r="AB613" s="24"/>
    </row>
    <row r="614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  <c r="AB614" s="24"/>
    </row>
    <row r="615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  <c r="AB615" s="24"/>
    </row>
    <row r="616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  <c r="AB616" s="24"/>
    </row>
    <row r="617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  <c r="AB617" s="24"/>
    </row>
    <row r="618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  <c r="AB618" s="24"/>
    </row>
    <row r="619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  <c r="AB619" s="24"/>
    </row>
    <row r="620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  <c r="AB620" s="24"/>
    </row>
    <row r="621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  <c r="AB621" s="24"/>
    </row>
    <row r="622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  <c r="AB622" s="24"/>
    </row>
    <row r="623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  <c r="AB623" s="24"/>
    </row>
    <row r="624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  <c r="AB624" s="24"/>
    </row>
    <row r="625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  <c r="AB625" s="24"/>
    </row>
    <row r="626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  <c r="AB626" s="24"/>
    </row>
    <row r="627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  <c r="AB627" s="24"/>
    </row>
    <row r="628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  <c r="AB628" s="24"/>
    </row>
    <row r="629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  <c r="AB629" s="24"/>
    </row>
    <row r="630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  <c r="AB630" s="24"/>
    </row>
    <row r="631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  <c r="AB631" s="24"/>
    </row>
    <row r="632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  <c r="AB632" s="24"/>
    </row>
    <row r="633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  <c r="AB633" s="24"/>
    </row>
    <row r="634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  <c r="AB634" s="24"/>
    </row>
    <row r="635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  <c r="AB635" s="24"/>
    </row>
    <row r="636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  <c r="AB636" s="24"/>
    </row>
    <row r="637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  <c r="AB637" s="24"/>
    </row>
    <row r="638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  <c r="AB638" s="24"/>
    </row>
    <row r="639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  <c r="AB639" s="24"/>
    </row>
    <row r="640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  <c r="AB640" s="24"/>
    </row>
    <row r="641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  <c r="AB641" s="24"/>
    </row>
    <row r="642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  <c r="AB642" s="24"/>
    </row>
    <row r="643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  <c r="AB643" s="24"/>
    </row>
    <row r="644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  <c r="AB644" s="24"/>
    </row>
    <row r="645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  <c r="AB645" s="24"/>
    </row>
    <row r="646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  <c r="AB646" s="24"/>
    </row>
    <row r="647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  <c r="AB647" s="24"/>
    </row>
    <row r="648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  <c r="AB648" s="24"/>
    </row>
    <row r="649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  <c r="AB649" s="24"/>
    </row>
    <row r="650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  <c r="AB650" s="24"/>
    </row>
    <row r="651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  <c r="AB651" s="24"/>
    </row>
    <row r="652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  <c r="AB652" s="24"/>
    </row>
    <row r="653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  <c r="AB653" s="24"/>
    </row>
    <row r="654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  <c r="AB654" s="24"/>
    </row>
    <row r="655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  <c r="AB655" s="24"/>
    </row>
    <row r="656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  <c r="AB656" s="24"/>
    </row>
    <row r="657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  <c r="AB657" s="24"/>
    </row>
    <row r="658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  <c r="AB658" s="24"/>
    </row>
    <row r="659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  <c r="AB659" s="24"/>
    </row>
    <row r="660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  <c r="AB660" s="24"/>
    </row>
    <row r="661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  <c r="AB661" s="24"/>
    </row>
    <row r="662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  <c r="AB662" s="24"/>
    </row>
    <row r="663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  <c r="AB663" s="24"/>
    </row>
    <row r="664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  <c r="AB664" s="24"/>
    </row>
    <row r="665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  <c r="AB665" s="24"/>
    </row>
    <row r="666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  <c r="AB666" s="24"/>
    </row>
    <row r="667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  <c r="AB667" s="24"/>
    </row>
    <row r="668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  <c r="AB668" s="24"/>
    </row>
    <row r="669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  <c r="AB669" s="24"/>
    </row>
    <row r="670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  <c r="AB670" s="24"/>
    </row>
    <row r="671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  <c r="AB671" s="24"/>
    </row>
    <row r="672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  <c r="AB672" s="24"/>
    </row>
    <row r="673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  <c r="AB673" s="24"/>
    </row>
    <row r="674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  <c r="AB674" s="24"/>
    </row>
    <row r="675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  <c r="AB675" s="24"/>
    </row>
    <row r="676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  <c r="AB676" s="24"/>
    </row>
    <row r="677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  <c r="AB677" s="24"/>
    </row>
    <row r="678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  <c r="AB678" s="24"/>
    </row>
    <row r="679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  <c r="AB679" s="24"/>
    </row>
    <row r="680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  <c r="AB680" s="24"/>
    </row>
    <row r="681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  <c r="AB681" s="24"/>
    </row>
    <row r="682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  <c r="AB682" s="24"/>
    </row>
    <row r="683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  <c r="AB683" s="24"/>
    </row>
    <row r="684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  <c r="AB684" s="24"/>
    </row>
    <row r="685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  <c r="AB685" s="24"/>
    </row>
    <row r="686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  <c r="AB686" s="24"/>
    </row>
    <row r="687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  <c r="AB687" s="24"/>
    </row>
    <row r="688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  <c r="AB688" s="24"/>
    </row>
    <row r="689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  <c r="AB689" s="24"/>
    </row>
    <row r="690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  <c r="AB690" s="24"/>
    </row>
    <row r="691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  <c r="AB691" s="24"/>
    </row>
    <row r="692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  <c r="AA692" s="24"/>
      <c r="AB692" s="24"/>
    </row>
    <row r="693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  <c r="AB693" s="24"/>
    </row>
    <row r="694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  <c r="AB694" s="24"/>
    </row>
    <row r="695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  <c r="AB695" s="24"/>
    </row>
    <row r="696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  <c r="AB696" s="24"/>
    </row>
    <row r="697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  <c r="AB697" s="24"/>
    </row>
    <row r="698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  <c r="AB698" s="24"/>
    </row>
    <row r="699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  <c r="AB699" s="24"/>
    </row>
    <row r="700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  <c r="AB700" s="24"/>
    </row>
    <row r="701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  <c r="AB701" s="24"/>
    </row>
    <row r="702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  <c r="AB702" s="24"/>
    </row>
    <row r="703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  <c r="AB703" s="24"/>
    </row>
    <row r="704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  <c r="AB704" s="24"/>
    </row>
    <row r="705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  <c r="AB705" s="24"/>
    </row>
    <row r="706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  <c r="AB706" s="24"/>
    </row>
    <row r="707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  <c r="AB707" s="24"/>
    </row>
    <row r="708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  <c r="AB708" s="24"/>
    </row>
    <row r="709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  <c r="AB709" s="24"/>
    </row>
    <row r="710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  <c r="AB710" s="24"/>
    </row>
    <row r="711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  <c r="AB711" s="24"/>
    </row>
    <row r="712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  <c r="AB712" s="24"/>
    </row>
    <row r="713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  <c r="AB713" s="24"/>
    </row>
    <row r="714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  <c r="AB714" s="24"/>
    </row>
    <row r="715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  <c r="AB715" s="24"/>
    </row>
    <row r="716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  <c r="AB716" s="24"/>
    </row>
    <row r="717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  <c r="AB717" s="24"/>
    </row>
    <row r="718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  <c r="AB718" s="24"/>
    </row>
    <row r="719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  <c r="AB719" s="24"/>
    </row>
    <row r="720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  <c r="AB720" s="24"/>
    </row>
    <row r="721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  <c r="AB721" s="24"/>
    </row>
    <row r="722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  <c r="AB722" s="24"/>
    </row>
    <row r="723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  <c r="AB723" s="24"/>
    </row>
    <row r="724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  <c r="AB724" s="24"/>
    </row>
    <row r="725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  <c r="AB725" s="24"/>
    </row>
    <row r="726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  <c r="AB726" s="24"/>
    </row>
    <row r="727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  <c r="AB727" s="24"/>
    </row>
    <row r="728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  <c r="AB728" s="24"/>
    </row>
    <row r="729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  <c r="AB729" s="24"/>
    </row>
    <row r="730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  <c r="AB730" s="24"/>
    </row>
    <row r="73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  <c r="AB731" s="24"/>
    </row>
    <row r="732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  <c r="AB732" s="24"/>
    </row>
    <row r="733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  <c r="AB733" s="24"/>
    </row>
    <row r="734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  <c r="AB734" s="24"/>
    </row>
    <row r="735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  <c r="AB735" s="24"/>
    </row>
    <row r="736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  <c r="AB736" s="24"/>
    </row>
    <row r="737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  <c r="AB737" s="24"/>
    </row>
    <row r="738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  <c r="AB738" s="24"/>
    </row>
    <row r="739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  <c r="AB739" s="24"/>
    </row>
    <row r="740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  <c r="AB740" s="24"/>
    </row>
    <row r="741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  <c r="AB741" s="24"/>
    </row>
    <row r="742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  <c r="AB742" s="24"/>
    </row>
    <row r="743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  <c r="AB743" s="24"/>
    </row>
    <row r="744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  <c r="AB744" s="24"/>
    </row>
    <row r="745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  <c r="AB745" s="24"/>
    </row>
    <row r="746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  <c r="AB746" s="24"/>
    </row>
    <row r="747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  <c r="AB747" s="24"/>
    </row>
    <row r="748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  <c r="AB748" s="24"/>
    </row>
    <row r="749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  <c r="AB749" s="24"/>
    </row>
    <row r="750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  <c r="AB750" s="24"/>
    </row>
    <row r="751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  <c r="AB751" s="24"/>
    </row>
    <row r="752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  <c r="AB752" s="24"/>
    </row>
    <row r="753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  <c r="AB753" s="24"/>
    </row>
    <row r="754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  <c r="AB754" s="24"/>
    </row>
    <row r="755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  <c r="AB755" s="24"/>
    </row>
    <row r="756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  <c r="AB756" s="24"/>
    </row>
    <row r="757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  <c r="AB757" s="24"/>
    </row>
    <row r="758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  <c r="AB758" s="24"/>
    </row>
    <row r="759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  <c r="AB759" s="24"/>
    </row>
    <row r="760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  <c r="AB760" s="24"/>
    </row>
    <row r="761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  <c r="AB761" s="24"/>
    </row>
    <row r="762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  <c r="AB762" s="24"/>
    </row>
    <row r="763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  <c r="AB763" s="24"/>
    </row>
    <row r="764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  <c r="AB764" s="24"/>
    </row>
    <row r="765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  <c r="AB765" s="24"/>
    </row>
    <row r="766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  <c r="AB766" s="24"/>
    </row>
    <row r="767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  <c r="AB767" s="24"/>
    </row>
    <row r="768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  <c r="AB768" s="24"/>
    </row>
    <row r="769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  <c r="AB769" s="24"/>
    </row>
    <row r="770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  <c r="AB770" s="24"/>
    </row>
    <row r="771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  <c r="AB771" s="24"/>
    </row>
    <row r="772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  <c r="AB772" s="24"/>
    </row>
    <row r="773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  <c r="AB773" s="24"/>
    </row>
    <row r="774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  <c r="AB774" s="24"/>
    </row>
    <row r="775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  <c r="AB775" s="24"/>
    </row>
    <row r="776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  <c r="AB776" s="24"/>
    </row>
    <row r="777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  <c r="AA777" s="24"/>
      <c r="AB777" s="24"/>
    </row>
    <row r="778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  <c r="AA778" s="24"/>
      <c r="AB778" s="24"/>
    </row>
    <row r="779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  <c r="AA779" s="24"/>
      <c r="AB779" s="24"/>
    </row>
    <row r="780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  <c r="AA780" s="24"/>
      <c r="AB780" s="24"/>
    </row>
    <row r="781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  <c r="AA781" s="24"/>
      <c r="AB781" s="24"/>
    </row>
    <row r="782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  <c r="AA782" s="24"/>
      <c r="AB782" s="24"/>
    </row>
    <row r="783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  <c r="AA783" s="24"/>
      <c r="AB783" s="24"/>
    </row>
    <row r="784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  <c r="AB784" s="24"/>
    </row>
    <row r="785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  <c r="AA785" s="24"/>
      <c r="AB785" s="24"/>
    </row>
    <row r="786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  <c r="AA786" s="24"/>
      <c r="AB786" s="24"/>
    </row>
    <row r="787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  <c r="AA787" s="24"/>
      <c r="AB787" s="24"/>
    </row>
    <row r="788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  <c r="AA788" s="24"/>
      <c r="AB788" s="24"/>
    </row>
    <row r="789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  <c r="AA789" s="24"/>
      <c r="AB789" s="24"/>
    </row>
    <row r="790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  <c r="AA790" s="24"/>
      <c r="AB790" s="24"/>
    </row>
    <row r="791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  <c r="AA791" s="24"/>
      <c r="AB791" s="24"/>
    </row>
    <row r="792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  <c r="AA792" s="24"/>
      <c r="AB792" s="24"/>
    </row>
    <row r="793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  <c r="AA793" s="24"/>
      <c r="AB793" s="24"/>
    </row>
    <row r="794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  <c r="AA794" s="24"/>
      <c r="AB794" s="24"/>
    </row>
    <row r="795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  <c r="AA795" s="24"/>
      <c r="AB795" s="24"/>
    </row>
    <row r="796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  <c r="AA796" s="24"/>
      <c r="AB796" s="24"/>
    </row>
    <row r="797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  <c r="AA797" s="24"/>
      <c r="AB797" s="24"/>
    </row>
    <row r="798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  <c r="AA798" s="24"/>
      <c r="AB798" s="24"/>
    </row>
    <row r="799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  <c r="AA799" s="24"/>
      <c r="AB799" s="24"/>
    </row>
    <row r="800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  <c r="AA800" s="24"/>
      <c r="AB800" s="24"/>
    </row>
    <row r="801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  <c r="AA801" s="24"/>
      <c r="AB801" s="24"/>
    </row>
    <row r="802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  <c r="AA802" s="24"/>
      <c r="AB802" s="24"/>
    </row>
    <row r="803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  <c r="AA803" s="24"/>
      <c r="AB803" s="24"/>
    </row>
    <row r="804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  <c r="AA804" s="24"/>
      <c r="AB804" s="24"/>
    </row>
    <row r="805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  <c r="AA805" s="24"/>
      <c r="AB805" s="24"/>
    </row>
    <row r="806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  <c r="AA806" s="24"/>
      <c r="AB806" s="24"/>
    </row>
    <row r="807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  <c r="AA807" s="24"/>
      <c r="AB807" s="24"/>
    </row>
    <row r="808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  <c r="AA808" s="24"/>
      <c r="AB808" s="24"/>
    </row>
    <row r="809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  <c r="AA809" s="24"/>
      <c r="AB809" s="24"/>
    </row>
    <row r="810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  <c r="AA810" s="24"/>
      <c r="AB810" s="24"/>
    </row>
    <row r="811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  <c r="AA811" s="24"/>
      <c r="AB811" s="24"/>
    </row>
    <row r="812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  <c r="AA812" s="24"/>
      <c r="AB812" s="24"/>
    </row>
    <row r="813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  <c r="AA813" s="24"/>
      <c r="AB813" s="24"/>
    </row>
    <row r="814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  <c r="AA814" s="24"/>
      <c r="AB814" s="24"/>
    </row>
    <row r="815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  <c r="AA815" s="24"/>
      <c r="AB815" s="24"/>
    </row>
    <row r="816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  <c r="AA816" s="24"/>
      <c r="AB816" s="24"/>
    </row>
    <row r="817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  <c r="AA817" s="24"/>
      <c r="AB817" s="24"/>
    </row>
    <row r="818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  <c r="AA818" s="24"/>
      <c r="AB818" s="24"/>
    </row>
    <row r="819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  <c r="AA819" s="24"/>
      <c r="AB819" s="24"/>
    </row>
    <row r="820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  <c r="AA820" s="24"/>
      <c r="AB820" s="24"/>
    </row>
    <row r="821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  <c r="AA821" s="24"/>
      <c r="AB821" s="24"/>
    </row>
    <row r="822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  <c r="AA822" s="24"/>
      <c r="AB822" s="24"/>
    </row>
    <row r="823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  <c r="AA823" s="24"/>
      <c r="AB823" s="24"/>
    </row>
    <row r="824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  <c r="AA824" s="24"/>
      <c r="AB824" s="24"/>
    </row>
    <row r="825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  <c r="AA825" s="24"/>
      <c r="AB825" s="24"/>
    </row>
    <row r="826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  <c r="AA826" s="24"/>
      <c r="AB826" s="24"/>
    </row>
    <row r="827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  <c r="AA827" s="24"/>
      <c r="AB827" s="24"/>
    </row>
    <row r="828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  <c r="AA828" s="24"/>
      <c r="AB828" s="24"/>
    </row>
    <row r="829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  <c r="AB829" s="24"/>
    </row>
    <row r="830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  <c r="AA830" s="24"/>
      <c r="AB830" s="24"/>
    </row>
    <row r="831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  <c r="AA831" s="24"/>
      <c r="AB831" s="24"/>
    </row>
    <row r="832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  <c r="AA832" s="24"/>
      <c r="AB832" s="24"/>
    </row>
    <row r="833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  <c r="AA833" s="24"/>
      <c r="AB833" s="24"/>
    </row>
    <row r="834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  <c r="AA834" s="24"/>
      <c r="AB834" s="24"/>
    </row>
    <row r="835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  <c r="AA835" s="24"/>
      <c r="AB835" s="24"/>
    </row>
    <row r="836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  <c r="AA836" s="24"/>
      <c r="AB836" s="24"/>
    </row>
    <row r="837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  <c r="AA837" s="24"/>
      <c r="AB837" s="24"/>
    </row>
    <row r="838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  <c r="AA838" s="24"/>
      <c r="AB838" s="24"/>
    </row>
    <row r="839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  <c r="AA839" s="24"/>
      <c r="AB839" s="24"/>
    </row>
    <row r="840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  <c r="AA840" s="24"/>
      <c r="AB840" s="24"/>
    </row>
    <row r="841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  <c r="AA841" s="24"/>
      <c r="AB841" s="24"/>
    </row>
    <row r="842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  <c r="AA842" s="24"/>
      <c r="AB842" s="24"/>
    </row>
    <row r="843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  <c r="AA843" s="24"/>
      <c r="AB843" s="24"/>
    </row>
    <row r="844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  <c r="AA844" s="24"/>
      <c r="AB844" s="24"/>
    </row>
    <row r="845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  <c r="AA845" s="24"/>
      <c r="AB845" s="24"/>
    </row>
    <row r="846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  <c r="AA846" s="24"/>
      <c r="AB846" s="24"/>
    </row>
    <row r="847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  <c r="AA847" s="24"/>
      <c r="AB847" s="24"/>
    </row>
    <row r="848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  <c r="AA848" s="24"/>
      <c r="AB848" s="24"/>
    </row>
    <row r="849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  <c r="AA849" s="24"/>
      <c r="AB849" s="24"/>
    </row>
    <row r="850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  <c r="AA850" s="24"/>
      <c r="AB850" s="24"/>
    </row>
    <row r="851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  <c r="AA851" s="24"/>
      <c r="AB851" s="24"/>
    </row>
    <row r="852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  <c r="AA852" s="24"/>
      <c r="AB852" s="24"/>
    </row>
    <row r="853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  <c r="AA853" s="24"/>
      <c r="AB853" s="24"/>
    </row>
    <row r="854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  <c r="AA854" s="24"/>
      <c r="AB854" s="24"/>
    </row>
    <row r="855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  <c r="AA855" s="24"/>
      <c r="AB855" s="24"/>
    </row>
    <row r="856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  <c r="AA856" s="24"/>
      <c r="AB856" s="24"/>
    </row>
    <row r="857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  <c r="AA857" s="24"/>
      <c r="AB857" s="24"/>
    </row>
    <row r="858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  <c r="AA858" s="24"/>
      <c r="AB858" s="24"/>
    </row>
    <row r="859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  <c r="AA859" s="24"/>
      <c r="AB859" s="24"/>
    </row>
    <row r="860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  <c r="AA860" s="24"/>
      <c r="AB860" s="24"/>
    </row>
    <row r="861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  <c r="AA861" s="24"/>
      <c r="AB861" s="24"/>
    </row>
    <row r="862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  <c r="AB862" s="24"/>
    </row>
    <row r="863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  <c r="AA863" s="24"/>
      <c r="AB863" s="24"/>
    </row>
    <row r="864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  <c r="AA864" s="24"/>
      <c r="AB864" s="24"/>
    </row>
    <row r="865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  <c r="AA865" s="24"/>
      <c r="AB865" s="24"/>
    </row>
    <row r="866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  <c r="AA866" s="24"/>
      <c r="AB866" s="24"/>
    </row>
    <row r="867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  <c r="AA867" s="24"/>
      <c r="AB867" s="24"/>
    </row>
    <row r="868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  <c r="AA868" s="24"/>
      <c r="AB868" s="24"/>
    </row>
    <row r="869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  <c r="AA869" s="24"/>
      <c r="AB869" s="24"/>
    </row>
    <row r="870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  <c r="AA870" s="24"/>
      <c r="AB870" s="24"/>
    </row>
    <row r="871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  <c r="AA871" s="24"/>
      <c r="AB871" s="24"/>
    </row>
    <row r="872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  <c r="AA872" s="24"/>
      <c r="AB872" s="24"/>
    </row>
    <row r="873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  <c r="AA873" s="24"/>
      <c r="AB873" s="24"/>
    </row>
    <row r="874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  <c r="AA874" s="24"/>
      <c r="AB874" s="24"/>
    </row>
    <row r="875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  <c r="AA875" s="24"/>
      <c r="AB875" s="24"/>
    </row>
    <row r="876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  <c r="AA876" s="24"/>
      <c r="AB876" s="24"/>
    </row>
    <row r="877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  <c r="AA877" s="24"/>
      <c r="AB877" s="24"/>
    </row>
    <row r="878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  <c r="AA878" s="24"/>
      <c r="AB878" s="24"/>
    </row>
    <row r="879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  <c r="AA879" s="24"/>
      <c r="AB879" s="24"/>
    </row>
    <row r="880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  <c r="AA880" s="24"/>
      <c r="AB880" s="24"/>
    </row>
    <row r="881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  <c r="AA881" s="24"/>
      <c r="AB881" s="24"/>
    </row>
    <row r="882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  <c r="AA882" s="24"/>
      <c r="AB882" s="24"/>
    </row>
    <row r="883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  <c r="AA883" s="24"/>
      <c r="AB883" s="24"/>
    </row>
    <row r="884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  <c r="AA884" s="24"/>
      <c r="AB884" s="24"/>
    </row>
    <row r="885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  <c r="AA885" s="24"/>
      <c r="AB885" s="24"/>
    </row>
    <row r="886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  <c r="AA886" s="24"/>
      <c r="AB886" s="24"/>
    </row>
    <row r="887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  <c r="AA887" s="24"/>
      <c r="AB887" s="24"/>
    </row>
    <row r="888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  <c r="AA888" s="24"/>
      <c r="AB888" s="24"/>
    </row>
    <row r="889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  <c r="AA889" s="24"/>
      <c r="AB889" s="24"/>
    </row>
    <row r="890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  <c r="AA890" s="24"/>
      <c r="AB890" s="24"/>
    </row>
    <row r="891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  <c r="AA891" s="24"/>
      <c r="AB891" s="24"/>
    </row>
    <row r="892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  <c r="AA892" s="24"/>
      <c r="AB892" s="24"/>
    </row>
    <row r="893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  <c r="AA893" s="24"/>
      <c r="AB893" s="24"/>
    </row>
    <row r="894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  <c r="AA894" s="24"/>
      <c r="AB894" s="24"/>
    </row>
    <row r="895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  <c r="AA895" s="24"/>
      <c r="AB895" s="24"/>
    </row>
    <row r="896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  <c r="AA896" s="24"/>
      <c r="AB896" s="24"/>
    </row>
    <row r="897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  <c r="AA897" s="24"/>
      <c r="AB897" s="24"/>
    </row>
    <row r="898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  <c r="AA898" s="24"/>
      <c r="AB898" s="24"/>
    </row>
    <row r="899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  <c r="AA899" s="24"/>
      <c r="AB899" s="24"/>
    </row>
    <row r="900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  <c r="AA900" s="24"/>
      <c r="AB900" s="24"/>
    </row>
    <row r="901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  <c r="AA901" s="24"/>
      <c r="AB901" s="24"/>
    </row>
    <row r="902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  <c r="AA902" s="24"/>
      <c r="AB902" s="24"/>
    </row>
    <row r="903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  <c r="AA903" s="24"/>
      <c r="AB903" s="24"/>
    </row>
    <row r="904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  <c r="AA904" s="24"/>
      <c r="AB904" s="24"/>
    </row>
    <row r="905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  <c r="AA905" s="24"/>
      <c r="AB905" s="24"/>
    </row>
    <row r="906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  <c r="AA906" s="24"/>
      <c r="AB906" s="24"/>
    </row>
    <row r="907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  <c r="AA907" s="24"/>
      <c r="AB907" s="24"/>
    </row>
    <row r="908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  <c r="AA908" s="24"/>
      <c r="AB908" s="24"/>
    </row>
    <row r="909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  <c r="AA909" s="24"/>
      <c r="AB909" s="24"/>
    </row>
    <row r="910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  <c r="AA910" s="24"/>
      <c r="AB910" s="24"/>
    </row>
    <row r="911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  <c r="AA911" s="24"/>
      <c r="AB911" s="24"/>
    </row>
    <row r="912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  <c r="AA912" s="24"/>
      <c r="AB912" s="24"/>
    </row>
    <row r="913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  <c r="AA913" s="24"/>
      <c r="AB913" s="24"/>
    </row>
    <row r="914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  <c r="AA914" s="24"/>
      <c r="AB914" s="24"/>
    </row>
    <row r="915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  <c r="AA915" s="24"/>
      <c r="AB915" s="24"/>
    </row>
    <row r="916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  <c r="AA916" s="24"/>
      <c r="AB916" s="24"/>
    </row>
    <row r="917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  <c r="AA917" s="24"/>
      <c r="AB917" s="24"/>
    </row>
    <row r="918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  <c r="AA918" s="24"/>
      <c r="AB918" s="24"/>
    </row>
    <row r="919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  <c r="AA919" s="24"/>
      <c r="AB919" s="24"/>
    </row>
    <row r="920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  <c r="AA920" s="24"/>
      <c r="AB920" s="24"/>
    </row>
    <row r="921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  <c r="AA921" s="24"/>
      <c r="AB921" s="24"/>
    </row>
    <row r="922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  <c r="AA922" s="24"/>
      <c r="AB922" s="24"/>
    </row>
    <row r="923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  <c r="AA923" s="24"/>
      <c r="AB923" s="24"/>
    </row>
    <row r="924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  <c r="AA924" s="24"/>
      <c r="AB924" s="24"/>
    </row>
    <row r="925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  <c r="AA925" s="24"/>
      <c r="AB925" s="24"/>
    </row>
    <row r="926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  <c r="AA926" s="24"/>
      <c r="AB926" s="24"/>
    </row>
    <row r="927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  <c r="AA927" s="24"/>
      <c r="AB927" s="24"/>
    </row>
    <row r="928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  <c r="AA928" s="24"/>
      <c r="AB928" s="24"/>
    </row>
    <row r="929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  <c r="AA929" s="24"/>
      <c r="AB929" s="24"/>
    </row>
    <row r="930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  <c r="AA930" s="24"/>
      <c r="AB930" s="24"/>
    </row>
    <row r="931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  <c r="AA931" s="24"/>
      <c r="AB931" s="24"/>
    </row>
    <row r="932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  <c r="AA932" s="24"/>
      <c r="AB932" s="24"/>
    </row>
    <row r="933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  <c r="AA933" s="24"/>
      <c r="AB933" s="24"/>
    </row>
    <row r="934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  <c r="AA934" s="24"/>
      <c r="AB934" s="24"/>
    </row>
    <row r="935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  <c r="AA935" s="24"/>
      <c r="AB935" s="24"/>
    </row>
    <row r="936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  <c r="AA936" s="24"/>
      <c r="AB936" s="24"/>
    </row>
    <row r="937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  <c r="AA937" s="24"/>
      <c r="AB937" s="24"/>
    </row>
    <row r="938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  <c r="AA938" s="24"/>
      <c r="AB938" s="24"/>
    </row>
    <row r="939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  <c r="AA939" s="24"/>
      <c r="AB939" s="24"/>
    </row>
    <row r="940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  <c r="AA940" s="24"/>
      <c r="AB940" s="24"/>
    </row>
    <row r="941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  <c r="AA941" s="24"/>
      <c r="AB941" s="24"/>
    </row>
    <row r="942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  <c r="AA942" s="24"/>
      <c r="AB942" s="24"/>
    </row>
    <row r="943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  <c r="AA943" s="24"/>
      <c r="AB943" s="24"/>
    </row>
    <row r="944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  <c r="AA944" s="24"/>
      <c r="AB944" s="24"/>
    </row>
    <row r="945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  <c r="AA945" s="24"/>
      <c r="AB945" s="24"/>
    </row>
    <row r="946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  <c r="AB946" s="24"/>
    </row>
    <row r="947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  <c r="AA947" s="24"/>
      <c r="AB947" s="24"/>
    </row>
    <row r="948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  <c r="AA948" s="24"/>
      <c r="AB948" s="24"/>
    </row>
    <row r="949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  <c r="AA949" s="24"/>
      <c r="AB949" s="24"/>
    </row>
    <row r="950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  <c r="AA950" s="24"/>
      <c r="AB950" s="24"/>
    </row>
    <row r="951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  <c r="AA951" s="24"/>
      <c r="AB951" s="24"/>
    </row>
    <row r="952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  <c r="AA952" s="24"/>
      <c r="AB952" s="24"/>
    </row>
    <row r="953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  <c r="AA953" s="24"/>
      <c r="AB953" s="24"/>
    </row>
    <row r="954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  <c r="AA954" s="24"/>
      <c r="AB954" s="24"/>
    </row>
    <row r="955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  <c r="AA955" s="24"/>
      <c r="AB955" s="24"/>
    </row>
    <row r="956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  <c r="AA956" s="24"/>
      <c r="AB956" s="24"/>
    </row>
    <row r="957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  <c r="AA957" s="24"/>
      <c r="AB957" s="24"/>
    </row>
    <row r="958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  <c r="AA958" s="24"/>
      <c r="AB958" s="24"/>
    </row>
    <row r="959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  <c r="AA959" s="24"/>
      <c r="AB959" s="24"/>
    </row>
    <row r="960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  <c r="AA960" s="24"/>
      <c r="AB960" s="24"/>
    </row>
    <row r="961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  <c r="AA961" s="24"/>
      <c r="AB961" s="24"/>
    </row>
    <row r="962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  <c r="AA962" s="24"/>
      <c r="AB962" s="24"/>
    </row>
    <row r="963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  <c r="AA963" s="24"/>
      <c r="AB963" s="24"/>
    </row>
    <row r="964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  <c r="AA964" s="24"/>
      <c r="AB964" s="24"/>
    </row>
    <row r="965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  <c r="AA965" s="24"/>
      <c r="AB965" s="24"/>
    </row>
    <row r="966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  <c r="AA966" s="24"/>
      <c r="AB966" s="24"/>
    </row>
    <row r="967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  <c r="AA967" s="24"/>
      <c r="AB967" s="24"/>
    </row>
    <row r="968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  <c r="AA968" s="24"/>
      <c r="AB968" s="24"/>
    </row>
    <row r="969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  <c r="AA969" s="24"/>
      <c r="AB969" s="24"/>
    </row>
    <row r="970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  <c r="AA970" s="24"/>
      <c r="AB970" s="24"/>
    </row>
    <row r="971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  <c r="AA971" s="24"/>
      <c r="AB971" s="24"/>
    </row>
    <row r="972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  <c r="AA972" s="24"/>
      <c r="AB972" s="24"/>
    </row>
    <row r="973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  <c r="AA973" s="24"/>
      <c r="AB973" s="24"/>
    </row>
    <row r="974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  <c r="AA974" s="24"/>
      <c r="AB974" s="24"/>
    </row>
    <row r="975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  <c r="AA975" s="24"/>
      <c r="AB975" s="24"/>
    </row>
    <row r="976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  <c r="AA976" s="24"/>
      <c r="AB976" s="24"/>
    </row>
    <row r="977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  <c r="AA977" s="24"/>
      <c r="AB977" s="24"/>
    </row>
    <row r="978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  <c r="AA978" s="24"/>
      <c r="AB978" s="24"/>
    </row>
    <row r="979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  <c r="AA979" s="24"/>
      <c r="AB979" s="24"/>
    </row>
    <row r="980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  <c r="AA980" s="24"/>
      <c r="AB980" s="24"/>
    </row>
    <row r="981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  <c r="AA981" s="24"/>
      <c r="AB981" s="24"/>
    </row>
    <row r="982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  <c r="AA982" s="24"/>
      <c r="AB982" s="24"/>
    </row>
    <row r="983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  <c r="AA983" s="24"/>
      <c r="AB983" s="24"/>
    </row>
    <row r="984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  <c r="AA984" s="24"/>
      <c r="AB984" s="24"/>
    </row>
    <row r="985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  <c r="AA985" s="24"/>
      <c r="AB985" s="24"/>
    </row>
    <row r="986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  <c r="AA986" s="24"/>
      <c r="AB986" s="24"/>
    </row>
    <row r="987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  <c r="AA987" s="24"/>
      <c r="AB987" s="24"/>
    </row>
    <row r="988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  <c r="AA988" s="24"/>
      <c r="AB988" s="24"/>
    </row>
    <row r="989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  <c r="AA989" s="24"/>
      <c r="AB989" s="24"/>
    </row>
    <row r="990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  <c r="AA990" s="24"/>
      <c r="AB990" s="24"/>
    </row>
    <row r="991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  <c r="AA991" s="24"/>
      <c r="AB991" s="24"/>
    </row>
    <row r="992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  <c r="AA992" s="24"/>
      <c r="AB992" s="24"/>
    </row>
    <row r="993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  <c r="AA993" s="24"/>
      <c r="AB993" s="24"/>
    </row>
    <row r="994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  <c r="AA994" s="24"/>
      <c r="AB994" s="24"/>
    </row>
    <row r="995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  <c r="AA995" s="24"/>
      <c r="AB995" s="24"/>
    </row>
    <row r="996">
      <c r="A996" s="24"/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  <c r="AA996" s="24"/>
      <c r="AB996" s="24"/>
    </row>
    <row r="997">
      <c r="A997" s="24"/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  <c r="AA997" s="24"/>
      <c r="AB997" s="24"/>
    </row>
    <row r="998">
      <c r="A998" s="24"/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  <c r="AA998" s="24"/>
      <c r="AB998" s="24"/>
    </row>
    <row r="999">
      <c r="A999" s="24"/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24"/>
      <c r="AA999" s="24"/>
      <c r="AB999" s="24"/>
    </row>
    <row r="1000">
      <c r="A1000" s="24"/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24"/>
      <c r="AA1000" s="24"/>
      <c r="AB1000" s="24"/>
    </row>
    <row r="1001">
      <c r="A1001" s="24"/>
      <c r="B1001" s="24"/>
      <c r="C1001" s="24"/>
      <c r="D1001" s="24"/>
      <c r="E1001" s="24"/>
      <c r="F1001" s="24"/>
      <c r="G1001" s="24"/>
      <c r="H1001" s="24"/>
      <c r="I1001" s="24"/>
      <c r="J1001" s="24"/>
      <c r="K1001" s="24"/>
      <c r="L1001" s="24"/>
      <c r="M1001" s="24"/>
      <c r="N1001" s="24"/>
      <c r="O1001" s="24"/>
      <c r="P1001" s="24"/>
      <c r="Q1001" s="24"/>
      <c r="R1001" s="24"/>
      <c r="S1001" s="24"/>
      <c r="T1001" s="24"/>
      <c r="U1001" s="24"/>
      <c r="V1001" s="24"/>
      <c r="W1001" s="24"/>
      <c r="X1001" s="24"/>
      <c r="Y1001" s="24"/>
      <c r="Z1001" s="24"/>
      <c r="AA1001" s="24"/>
      <c r="AB1001" s="24"/>
    </row>
    <row r="1002">
      <c r="A1002" s="24"/>
      <c r="B1002" s="24"/>
      <c r="C1002" s="24"/>
      <c r="D1002" s="24"/>
      <c r="E1002" s="24"/>
      <c r="F1002" s="24"/>
      <c r="G1002" s="24"/>
      <c r="H1002" s="24"/>
      <c r="I1002" s="24"/>
      <c r="J1002" s="24"/>
      <c r="K1002" s="24"/>
      <c r="L1002" s="24"/>
      <c r="M1002" s="24"/>
      <c r="N1002" s="24"/>
      <c r="O1002" s="24"/>
      <c r="P1002" s="24"/>
      <c r="Q1002" s="24"/>
      <c r="R1002" s="24"/>
      <c r="S1002" s="24"/>
      <c r="T1002" s="24"/>
      <c r="U1002" s="24"/>
      <c r="V1002" s="24"/>
      <c r="W1002" s="24"/>
      <c r="X1002" s="24"/>
      <c r="Y1002" s="24"/>
      <c r="Z1002" s="24"/>
      <c r="AA1002" s="24"/>
      <c r="AB1002" s="24"/>
    </row>
    <row r="1003">
      <c r="A1003" s="24"/>
      <c r="B1003" s="24"/>
      <c r="C1003" s="24"/>
      <c r="D1003" s="24"/>
      <c r="E1003" s="24"/>
      <c r="F1003" s="24"/>
      <c r="G1003" s="24"/>
      <c r="H1003" s="24"/>
      <c r="I1003" s="24"/>
      <c r="J1003" s="24"/>
      <c r="K1003" s="24"/>
      <c r="L1003" s="24"/>
      <c r="M1003" s="24"/>
      <c r="N1003" s="24"/>
      <c r="O1003" s="24"/>
      <c r="P1003" s="24"/>
      <c r="Q1003" s="24"/>
      <c r="R1003" s="24"/>
      <c r="S1003" s="24"/>
      <c r="T1003" s="24"/>
      <c r="U1003" s="24"/>
      <c r="V1003" s="24"/>
      <c r="W1003" s="24"/>
      <c r="X1003" s="24"/>
      <c r="Y1003" s="24"/>
      <c r="Z1003" s="24"/>
      <c r="AA1003" s="24"/>
      <c r="AB1003" s="24"/>
    </row>
  </sheetData>
  <drawing r:id="rId1"/>
</worksheet>
</file>